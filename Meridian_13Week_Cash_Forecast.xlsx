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EBORAH\Learning\Project portfolio - FP and A\13 week rolling forecast\forecast\"/>
    </mc:Choice>
  </mc:AlternateContent>
  <xr:revisionPtr revIDLastSave="0" documentId="13_ncr:1_{26D276D4-DAF9-42A3-B0A7-8A9EB63161E9}" xr6:coauthVersionLast="47" xr6:coauthVersionMax="47" xr10:uidLastSave="{00000000-0000-0000-0000-000000000000}"/>
  <bookViews>
    <workbookView xWindow="1700" yWindow="0" windowWidth="17500" windowHeight="11280" tabRatio="500" firstSheet="1" activeTab="1" xr2:uid="{00000000-000D-0000-FFFF-FFFF00000000}"/>
  </bookViews>
  <sheets>
    <sheet name="Overview" sheetId="1" r:id="rId1"/>
    <sheet name="Dashboard" sheetId="2" r:id="rId2"/>
    <sheet name="Assumptions" sheetId="3" r:id="rId3"/>
    <sheet name="Driver Build" sheetId="4" r:id="rId4"/>
    <sheet name="Actuals" sheetId="5" r:id="rId5"/>
    <sheet name="Live Model" sheetId="6" r:id="rId6"/>
    <sheet name="Snapshot Log" sheetId="9" r:id="rId7"/>
    <sheet name="Variance Calc" sheetId="8" r:id="rId8"/>
    <sheet name="Scenario" sheetId="7" r:id="rId9"/>
    <sheet name="KPI Summary" sheetId="10" r:id="rId10"/>
    <sheet name="Chart Data" sheetId="12" r:id="rId11"/>
  </sheets>
  <definedNames>
    <definedName name="_xlnm._FilterDatabase" localSheetId="6" hidden="1">'Snapshot Log'!$A$4:$E$556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 i="2" l="1"/>
  <c r="E37" i="12"/>
  <c r="E36" i="12"/>
  <c r="E35" i="12"/>
  <c r="E34" i="12"/>
  <c r="E33" i="12"/>
  <c r="E32" i="12"/>
  <c r="E31" i="12"/>
  <c r="E30" i="12"/>
  <c r="E29" i="12"/>
  <c r="E28" i="12"/>
  <c r="E27" i="12"/>
  <c r="E26" i="12"/>
  <c r="E25" i="12"/>
  <c r="E24" i="12"/>
  <c r="E20" i="12"/>
  <c r="E19" i="12"/>
  <c r="E18" i="12"/>
  <c r="E17" i="12"/>
  <c r="E16" i="12"/>
  <c r="E15" i="12"/>
  <c r="E14" i="12"/>
  <c r="E13" i="12"/>
  <c r="E12" i="12"/>
  <c r="E11" i="12"/>
  <c r="E10" i="12"/>
  <c r="E9" i="12"/>
  <c r="E8" i="12"/>
  <c r="E7" i="12"/>
  <c r="E6" i="12"/>
  <c r="G5" i="12"/>
  <c r="E5" i="12"/>
  <c r="E4" i="12"/>
  <c r="C6" i="10"/>
  <c r="E69" i="8"/>
  <c r="D69" i="8"/>
  <c r="E68" i="8"/>
  <c r="D68" i="8"/>
  <c r="F68" i="8" s="1"/>
  <c r="E67" i="8"/>
  <c r="D67" i="8"/>
  <c r="F67" i="8" s="1"/>
  <c r="E66" i="8"/>
  <c r="D66" i="8"/>
  <c r="F66" i="8" s="1"/>
  <c r="C13" i="10" s="1"/>
  <c r="E65" i="8"/>
  <c r="D65" i="8"/>
  <c r="F65" i="8" s="1"/>
  <c r="E64" i="8"/>
  <c r="D64" i="8"/>
  <c r="E63" i="8"/>
  <c r="D63" i="8"/>
  <c r="E62" i="8"/>
  <c r="D62" i="8"/>
  <c r="F62" i="8" s="1"/>
  <c r="E61" i="8"/>
  <c r="D61" i="8"/>
  <c r="F61" i="8" s="1"/>
  <c r="E60" i="8"/>
  <c r="D60" i="8"/>
  <c r="C56" i="8"/>
  <c r="C59" i="12" s="1"/>
  <c r="C55" i="8"/>
  <c r="C58" i="12" s="1"/>
  <c r="C54" i="8"/>
  <c r="C57" i="12" s="1"/>
  <c r="C53" i="8"/>
  <c r="C56" i="12" s="1"/>
  <c r="D48" i="8"/>
  <c r="C48" i="8"/>
  <c r="D47" i="8"/>
  <c r="C47" i="8"/>
  <c r="E47" i="8" s="1"/>
  <c r="F47" i="8" s="1"/>
  <c r="D46" i="8"/>
  <c r="C46" i="8"/>
  <c r="E46" i="8" s="1"/>
  <c r="F46" i="8" s="1"/>
  <c r="D45" i="8"/>
  <c r="C45" i="8"/>
  <c r="D44" i="8"/>
  <c r="C44" i="8"/>
  <c r="E44" i="8" s="1"/>
  <c r="F44" i="8" s="1"/>
  <c r="D43" i="8"/>
  <c r="C43" i="8"/>
  <c r="E43" i="8" s="1"/>
  <c r="F43" i="8" s="1"/>
  <c r="D42" i="8"/>
  <c r="C42" i="8"/>
  <c r="D41" i="8"/>
  <c r="C41" i="8"/>
  <c r="D36" i="8"/>
  <c r="C36" i="8"/>
  <c r="D35" i="8"/>
  <c r="C35" i="8"/>
  <c r="E35" i="8" s="1"/>
  <c r="F35" i="8" s="1"/>
  <c r="D34" i="8"/>
  <c r="C34" i="8"/>
  <c r="E34" i="8" s="1"/>
  <c r="F34" i="8" s="1"/>
  <c r="D33" i="8"/>
  <c r="C33" i="8"/>
  <c r="D32" i="8"/>
  <c r="C32" i="8"/>
  <c r="D31" i="8"/>
  <c r="C31" i="8"/>
  <c r="D30" i="8"/>
  <c r="C30" i="8"/>
  <c r="E30" i="8" s="1"/>
  <c r="F30" i="8" s="1"/>
  <c r="D29" i="8"/>
  <c r="C29" i="8"/>
  <c r="D24" i="8"/>
  <c r="C24" i="8"/>
  <c r="E24" i="8" s="1"/>
  <c r="F24" i="8" s="1"/>
  <c r="D23" i="8"/>
  <c r="C23" i="8"/>
  <c r="E23" i="8" s="1"/>
  <c r="F23" i="8" s="1"/>
  <c r="D22" i="8"/>
  <c r="C22" i="8"/>
  <c r="D21" i="8"/>
  <c r="C21" i="8"/>
  <c r="E21" i="8" s="1"/>
  <c r="F21" i="8" s="1"/>
  <c r="D20" i="8"/>
  <c r="C20" i="8"/>
  <c r="E20" i="8" s="1"/>
  <c r="F20" i="8" s="1"/>
  <c r="D19" i="8"/>
  <c r="C19" i="8"/>
  <c r="E19" i="8" s="1"/>
  <c r="F19" i="8" s="1"/>
  <c r="D18" i="8"/>
  <c r="C18" i="8"/>
  <c r="D17" i="8"/>
  <c r="C17" i="8"/>
  <c r="E17" i="8" s="1"/>
  <c r="D12" i="8"/>
  <c r="C12" i="8"/>
  <c r="D11" i="8"/>
  <c r="C11" i="8"/>
  <c r="E11" i="8" s="1"/>
  <c r="F11" i="8" s="1"/>
  <c r="D10" i="8"/>
  <c r="C10" i="8"/>
  <c r="E10" i="8" s="1"/>
  <c r="F10" i="8" s="1"/>
  <c r="D9" i="8"/>
  <c r="C9" i="8"/>
  <c r="E9" i="8" s="1"/>
  <c r="F9" i="8" s="1"/>
  <c r="D8" i="8"/>
  <c r="C8" i="8"/>
  <c r="D7" i="8"/>
  <c r="C7" i="8"/>
  <c r="D6" i="8"/>
  <c r="C6" i="8"/>
  <c r="D5" i="8"/>
  <c r="C5" i="8"/>
  <c r="O21" i="6"/>
  <c r="N21" i="6"/>
  <c r="M21" i="6"/>
  <c r="L21" i="6"/>
  <c r="K21" i="6"/>
  <c r="J21" i="6"/>
  <c r="I21" i="6"/>
  <c r="H21" i="6"/>
  <c r="G21" i="6"/>
  <c r="F21" i="6"/>
  <c r="E21" i="6"/>
  <c r="D21" i="6"/>
  <c r="C21" i="6"/>
  <c r="O15" i="6"/>
  <c r="G52" i="12" s="1"/>
  <c r="N15" i="6"/>
  <c r="G51" i="12" s="1"/>
  <c r="M15" i="6"/>
  <c r="G50" i="12" s="1"/>
  <c r="L15" i="6"/>
  <c r="G49" i="12" s="1"/>
  <c r="K15" i="6"/>
  <c r="G48" i="12" s="1"/>
  <c r="J15" i="6"/>
  <c r="G47" i="12" s="1"/>
  <c r="I15" i="6"/>
  <c r="G46" i="12" s="1"/>
  <c r="H15" i="6"/>
  <c r="G45" i="12" s="1"/>
  <c r="G15" i="6"/>
  <c r="G44" i="12" s="1"/>
  <c r="F15" i="6"/>
  <c r="G43" i="12" s="1"/>
  <c r="E15" i="6"/>
  <c r="G42" i="12" s="1"/>
  <c r="D15" i="6"/>
  <c r="G41" i="12" s="1"/>
  <c r="C15" i="6"/>
  <c r="G40" i="12" s="1"/>
  <c r="O14" i="6"/>
  <c r="F52" i="12" s="1"/>
  <c r="N14" i="6"/>
  <c r="F51" i="12" s="1"/>
  <c r="M14" i="6"/>
  <c r="F50" i="12" s="1"/>
  <c r="L14" i="6"/>
  <c r="F49" i="12" s="1"/>
  <c r="K14" i="6"/>
  <c r="F48" i="12" s="1"/>
  <c r="J14" i="6"/>
  <c r="F47" i="12" s="1"/>
  <c r="I14" i="6"/>
  <c r="F46" i="12" s="1"/>
  <c r="H14" i="6"/>
  <c r="F45" i="12" s="1"/>
  <c r="G14" i="6"/>
  <c r="F44" i="12" s="1"/>
  <c r="F14" i="6"/>
  <c r="F43" i="12" s="1"/>
  <c r="E14" i="6"/>
  <c r="F42" i="12" s="1"/>
  <c r="D14" i="6"/>
  <c r="F41" i="12" s="1"/>
  <c r="C14" i="6"/>
  <c r="F40" i="12" s="1"/>
  <c r="O13" i="6"/>
  <c r="E52" i="12" s="1"/>
  <c r="N13" i="6"/>
  <c r="E51" i="12" s="1"/>
  <c r="M13" i="6"/>
  <c r="E50" i="12" s="1"/>
  <c r="L13" i="6"/>
  <c r="E49" i="12" s="1"/>
  <c r="K13" i="6"/>
  <c r="E48" i="12" s="1"/>
  <c r="J13" i="6"/>
  <c r="E47" i="12" s="1"/>
  <c r="I13" i="6"/>
  <c r="E46" i="12" s="1"/>
  <c r="H13" i="6"/>
  <c r="E45" i="12" s="1"/>
  <c r="G13" i="6"/>
  <c r="E44" i="12" s="1"/>
  <c r="F13" i="6"/>
  <c r="E43" i="12" s="1"/>
  <c r="E13" i="6"/>
  <c r="E42" i="12" s="1"/>
  <c r="D13" i="6"/>
  <c r="E41" i="12" s="1"/>
  <c r="C13" i="6"/>
  <c r="E40" i="12" s="1"/>
  <c r="O12" i="6"/>
  <c r="D52" i="12" s="1"/>
  <c r="N12" i="6"/>
  <c r="D51" i="12" s="1"/>
  <c r="M12" i="6"/>
  <c r="D50" i="12" s="1"/>
  <c r="L12" i="6"/>
  <c r="D49" i="12" s="1"/>
  <c r="K12" i="6"/>
  <c r="D48" i="12" s="1"/>
  <c r="J12" i="6"/>
  <c r="D47" i="12" s="1"/>
  <c r="I12" i="6"/>
  <c r="D46" i="12" s="1"/>
  <c r="H12" i="6"/>
  <c r="D45" i="12" s="1"/>
  <c r="G12" i="6"/>
  <c r="D44" i="12" s="1"/>
  <c r="F12" i="6"/>
  <c r="D43" i="12" s="1"/>
  <c r="E12" i="6"/>
  <c r="D42" i="12" s="1"/>
  <c r="D12" i="6"/>
  <c r="D41" i="12" s="1"/>
  <c r="C12" i="6"/>
  <c r="D40" i="12" s="1"/>
  <c r="O11" i="6"/>
  <c r="C52" i="12" s="1"/>
  <c r="N11" i="6"/>
  <c r="C51" i="12" s="1"/>
  <c r="M11" i="6"/>
  <c r="C50" i="12" s="1"/>
  <c r="L11" i="6"/>
  <c r="C49" i="12" s="1"/>
  <c r="K11" i="6"/>
  <c r="C48" i="12" s="1"/>
  <c r="J11" i="6"/>
  <c r="C47" i="12" s="1"/>
  <c r="I11" i="6"/>
  <c r="C46" i="12" s="1"/>
  <c r="H11" i="6"/>
  <c r="C45" i="12" s="1"/>
  <c r="G11" i="6"/>
  <c r="C44" i="12" s="1"/>
  <c r="F11" i="6"/>
  <c r="C43" i="12" s="1"/>
  <c r="E11" i="6"/>
  <c r="C42" i="12" s="1"/>
  <c r="D11" i="6"/>
  <c r="C41" i="12" s="1"/>
  <c r="C11" i="6"/>
  <c r="C40" i="12" s="1"/>
  <c r="O7" i="6"/>
  <c r="N7" i="6"/>
  <c r="M7" i="6"/>
  <c r="L7" i="6"/>
  <c r="K7" i="6"/>
  <c r="J7" i="6"/>
  <c r="I7" i="6"/>
  <c r="H7" i="6"/>
  <c r="G7" i="6"/>
  <c r="F7" i="6"/>
  <c r="E7" i="6"/>
  <c r="D7" i="6"/>
  <c r="C7" i="6"/>
  <c r="F16" i="5"/>
  <c r="G7" i="12" s="1"/>
  <c r="E16" i="5"/>
  <c r="G6" i="12" s="1"/>
  <c r="D16" i="5"/>
  <c r="C16" i="5"/>
  <c r="G4" i="12" s="1"/>
  <c r="F8" i="5"/>
  <c r="E8" i="5"/>
  <c r="F6" i="12" s="1"/>
  <c r="D8" i="5"/>
  <c r="C8" i="5"/>
  <c r="F4" i="12" s="1"/>
  <c r="C5" i="5"/>
  <c r="O7" i="4"/>
  <c r="N7" i="4"/>
  <c r="S6" i="4"/>
  <c r="S7" i="4" s="1"/>
  <c r="R6" i="4"/>
  <c r="R7" i="4" s="1"/>
  <c r="Q6" i="4"/>
  <c r="Q7" i="4" s="1"/>
  <c r="P6" i="4"/>
  <c r="O6" i="4"/>
  <c r="N6" i="4"/>
  <c r="M6" i="4"/>
  <c r="M7" i="4" s="1"/>
  <c r="L6" i="4"/>
  <c r="L7" i="4" s="1"/>
  <c r="K6" i="4"/>
  <c r="K7" i="4" s="1"/>
  <c r="J6" i="4"/>
  <c r="J7" i="4" s="1"/>
  <c r="I6" i="4"/>
  <c r="I7" i="4" s="1"/>
  <c r="H6" i="4"/>
  <c r="G6" i="4"/>
  <c r="C6" i="6" s="1"/>
  <c r="C8" i="6" s="1"/>
  <c r="C29" i="7" s="1"/>
  <c r="S5" i="4"/>
  <c r="C20" i="12" s="1"/>
  <c r="R5" i="4"/>
  <c r="C19" i="12" s="1"/>
  <c r="Q5" i="4"/>
  <c r="C18" i="12" s="1"/>
  <c r="P5" i="4"/>
  <c r="C17" i="12" s="1"/>
  <c r="O5" i="4"/>
  <c r="C16" i="12" s="1"/>
  <c r="N5" i="4"/>
  <c r="C15" i="12" s="1"/>
  <c r="M5" i="4"/>
  <c r="C14" i="12" s="1"/>
  <c r="L5" i="4"/>
  <c r="C13" i="12" s="1"/>
  <c r="K5" i="4"/>
  <c r="C12" i="12" s="1"/>
  <c r="J5" i="4"/>
  <c r="C11" i="12" s="1"/>
  <c r="I5" i="4"/>
  <c r="C10" i="12" s="1"/>
  <c r="H5" i="4"/>
  <c r="C9" i="12" s="1"/>
  <c r="G5" i="4"/>
  <c r="C8" i="12" s="1"/>
  <c r="F5" i="4"/>
  <c r="C7" i="12" s="1"/>
  <c r="E5" i="4"/>
  <c r="C6" i="12" s="1"/>
  <c r="D5" i="4"/>
  <c r="C5" i="12" s="1"/>
  <c r="C5" i="4"/>
  <c r="C4" i="12" s="1"/>
  <c r="S4" i="4"/>
  <c r="B20" i="12" s="1"/>
  <c r="R4" i="4"/>
  <c r="B19" i="12" s="1"/>
  <c r="Q4" i="4"/>
  <c r="M3" i="6" s="1"/>
  <c r="P4" i="4"/>
  <c r="B17" i="12" s="1"/>
  <c r="O4" i="4"/>
  <c r="B16" i="12" s="1"/>
  <c r="N4" i="4"/>
  <c r="M4" i="4"/>
  <c r="B14" i="12" s="1"/>
  <c r="L4" i="4"/>
  <c r="K4" i="4"/>
  <c r="B12" i="12" s="1"/>
  <c r="J4" i="4"/>
  <c r="B11" i="12" s="1"/>
  <c r="I4" i="4"/>
  <c r="B10" i="12" s="1"/>
  <c r="H4" i="4"/>
  <c r="D3" i="6" s="1"/>
  <c r="G4" i="4"/>
  <c r="B8" i="12" s="1"/>
  <c r="F4" i="4"/>
  <c r="B7" i="12" s="1"/>
  <c r="E4" i="4"/>
  <c r="B6" i="12" s="1"/>
  <c r="D4" i="4"/>
  <c r="B5" i="12" s="1"/>
  <c r="C4" i="4"/>
  <c r="B4" i="12" s="1"/>
  <c r="O40" i="3"/>
  <c r="N40" i="3"/>
  <c r="M40" i="3"/>
  <c r="L40" i="3"/>
  <c r="K40" i="3"/>
  <c r="J40" i="3"/>
  <c r="I40" i="3"/>
  <c r="H40" i="3"/>
  <c r="G40" i="3"/>
  <c r="F40" i="3"/>
  <c r="E40" i="3"/>
  <c r="D40" i="3"/>
  <c r="C40" i="3"/>
  <c r="C20" i="3"/>
  <c r="C11" i="3"/>
  <c r="F60" i="8" l="1"/>
  <c r="E45" i="8"/>
  <c r="F45" i="8" s="1"/>
  <c r="E31" i="8"/>
  <c r="F31" i="8" s="1"/>
  <c r="E6" i="8"/>
  <c r="F6" i="8" s="1"/>
  <c r="E32" i="8"/>
  <c r="F32" i="8" s="1"/>
  <c r="F63" i="8"/>
  <c r="D53" i="8" s="1"/>
  <c r="F69" i="8"/>
  <c r="D56" i="8" s="1"/>
  <c r="B59" i="12" s="1"/>
  <c r="F18" i="5"/>
  <c r="C12" i="10" s="1"/>
  <c r="L6" i="6"/>
  <c r="L8" i="6" s="1"/>
  <c r="I3" i="6"/>
  <c r="P7" i="4"/>
  <c r="L10" i="6" s="1"/>
  <c r="B49" i="12" s="1"/>
  <c r="E22" i="8"/>
  <c r="F22" i="8" s="1"/>
  <c r="F64" i="8"/>
  <c r="D49" i="8"/>
  <c r="D37" i="8"/>
  <c r="C49" i="8"/>
  <c r="E7" i="8"/>
  <c r="F7" i="8" s="1"/>
  <c r="C13" i="8"/>
  <c r="E8" i="8"/>
  <c r="F8" i="8" s="1"/>
  <c r="C37" i="8"/>
  <c r="D55" i="8"/>
  <c r="C17" i="10" s="1"/>
  <c r="E42" i="8"/>
  <c r="F42" i="8" s="1"/>
  <c r="E48" i="8"/>
  <c r="F48" i="8" s="1"/>
  <c r="D13" i="8"/>
  <c r="E36" i="8"/>
  <c r="F36" i="8" s="1"/>
  <c r="J6" i="6"/>
  <c r="J8" i="6" s="1"/>
  <c r="J29" i="7" s="1"/>
  <c r="N10" i="6"/>
  <c r="N16" i="6" s="1"/>
  <c r="M10" i="6"/>
  <c r="C3" i="6"/>
  <c r="F3" i="6"/>
  <c r="G3" i="6"/>
  <c r="N3" i="6"/>
  <c r="J10" i="6"/>
  <c r="B47" i="12" s="1"/>
  <c r="I10" i="6"/>
  <c r="B46" i="12" s="1"/>
  <c r="K6" i="6"/>
  <c r="K8" i="6" s="1"/>
  <c r="F16" i="12" s="1"/>
  <c r="E3" i="5"/>
  <c r="F3" i="5"/>
  <c r="B9" i="12"/>
  <c r="B18" i="12"/>
  <c r="L3" i="6"/>
  <c r="G7" i="4"/>
  <c r="C10" i="6" s="1"/>
  <c r="B40" i="12" s="1"/>
  <c r="B50" i="12"/>
  <c r="M16" i="6"/>
  <c r="B15" i="12"/>
  <c r="J3" i="6"/>
  <c r="D6" i="6"/>
  <c r="D8" i="6" s="1"/>
  <c r="H7" i="4"/>
  <c r="H10" i="6" s="1"/>
  <c r="H6" i="6"/>
  <c r="H8" i="6" s="1"/>
  <c r="J20" i="7"/>
  <c r="F15" i="12"/>
  <c r="J11" i="7"/>
  <c r="I6" i="6"/>
  <c r="I8" i="6" s="1"/>
  <c r="F6" i="6"/>
  <c r="F8" i="6" s="1"/>
  <c r="D18" i="5"/>
  <c r="H5" i="12" s="1"/>
  <c r="F5" i="12"/>
  <c r="E3" i="6"/>
  <c r="E5" i="8"/>
  <c r="E29" i="8"/>
  <c r="E41" i="8"/>
  <c r="F17" i="8"/>
  <c r="K10" i="6"/>
  <c r="L29" i="7"/>
  <c r="L11" i="7"/>
  <c r="L20" i="7"/>
  <c r="E18" i="8"/>
  <c r="F18" i="8" s="1"/>
  <c r="C25" i="8"/>
  <c r="D25" i="8"/>
  <c r="F7" i="12"/>
  <c r="F17" i="12"/>
  <c r="C3" i="5"/>
  <c r="C18" i="5"/>
  <c r="H4" i="12" s="1"/>
  <c r="H3" i="6"/>
  <c r="B13" i="12"/>
  <c r="N6" i="6"/>
  <c r="N8" i="6" s="1"/>
  <c r="E18" i="5"/>
  <c r="H6" i="12" s="1"/>
  <c r="E6" i="6"/>
  <c r="E8" i="6" s="1"/>
  <c r="E12" i="8"/>
  <c r="F12" i="8" s="1"/>
  <c r="D54" i="8"/>
  <c r="H7" i="12"/>
  <c r="M6" i="6"/>
  <c r="M8" i="6" s="1"/>
  <c r="F8" i="12"/>
  <c r="C11" i="7"/>
  <c r="O10" i="6"/>
  <c r="K3" i="6"/>
  <c r="C20" i="7"/>
  <c r="O6" i="6"/>
  <c r="O8" i="6" s="1"/>
  <c r="O3" i="6"/>
  <c r="G6" i="6"/>
  <c r="G8" i="6" s="1"/>
  <c r="E33" i="8"/>
  <c r="F33" i="8" s="1"/>
  <c r="C18" i="10"/>
  <c r="D3" i="5"/>
  <c r="E25" i="8" l="1"/>
  <c r="F25" i="8" s="1"/>
  <c r="B51" i="12"/>
  <c r="B1" i="10"/>
  <c r="F10" i="6"/>
  <c r="C16" i="6"/>
  <c r="C30" i="7" s="1"/>
  <c r="C31" i="7" s="1"/>
  <c r="B58" i="12"/>
  <c r="K11" i="7"/>
  <c r="K29" i="7"/>
  <c r="K20" i="7"/>
  <c r="I16" i="6"/>
  <c r="I18" i="6" s="1"/>
  <c r="H14" i="12" s="1"/>
  <c r="J16" i="6"/>
  <c r="J18" i="6" s="1"/>
  <c r="H15" i="12" s="1"/>
  <c r="L16" i="6"/>
  <c r="L18" i="6" s="1"/>
  <c r="H17" i="12" s="1"/>
  <c r="G10" i="6"/>
  <c r="B44" i="12" s="1"/>
  <c r="B45" i="12"/>
  <c r="H16" i="6"/>
  <c r="H18" i="6" s="1"/>
  <c r="H13" i="12" s="1"/>
  <c r="F19" i="12"/>
  <c r="N18" i="6"/>
  <c r="H19" i="12" s="1"/>
  <c r="N29" i="7"/>
  <c r="N11" i="7"/>
  <c r="N20" i="7"/>
  <c r="B43" i="12"/>
  <c r="F16" i="6"/>
  <c r="F18" i="6" s="1"/>
  <c r="H11" i="12" s="1"/>
  <c r="F20" i="7"/>
  <c r="F11" i="12"/>
  <c r="F29" i="7"/>
  <c r="F11" i="7"/>
  <c r="N21" i="7"/>
  <c r="G19" i="12"/>
  <c r="N12" i="7"/>
  <c r="N30" i="7"/>
  <c r="F18" i="12"/>
  <c r="M20" i="7"/>
  <c r="M18" i="6"/>
  <c r="H18" i="12" s="1"/>
  <c r="M29" i="7"/>
  <c r="M11" i="7"/>
  <c r="D10" i="6"/>
  <c r="E10" i="6"/>
  <c r="D29" i="7"/>
  <c r="D11" i="7"/>
  <c r="F9" i="12"/>
  <c r="D20" i="7"/>
  <c r="F20" i="12"/>
  <c r="O29" i="7"/>
  <c r="O11" i="7"/>
  <c r="O20" i="7"/>
  <c r="B52" i="12"/>
  <c r="O16" i="6"/>
  <c r="I11" i="7"/>
  <c r="I29" i="7"/>
  <c r="F14" i="12"/>
  <c r="I20" i="7"/>
  <c r="C12" i="7"/>
  <c r="C13" i="7" s="1"/>
  <c r="G8" i="12"/>
  <c r="C18" i="6"/>
  <c r="C21" i="7"/>
  <c r="C22" i="7" s="1"/>
  <c r="B48" i="12"/>
  <c r="K16" i="6"/>
  <c r="F13" i="12"/>
  <c r="H29" i="7"/>
  <c r="H11" i="7"/>
  <c r="H20" i="7"/>
  <c r="B56" i="12"/>
  <c r="C15" i="10"/>
  <c r="Q5" i="2" s="1"/>
  <c r="G29" i="7"/>
  <c r="F12" i="12"/>
  <c r="G20" i="7"/>
  <c r="G11" i="7"/>
  <c r="B57" i="12"/>
  <c r="C16" i="10"/>
  <c r="F41" i="8"/>
  <c r="E49" i="8"/>
  <c r="F49" i="8" s="1"/>
  <c r="G18" i="12"/>
  <c r="M21" i="7"/>
  <c r="M30" i="7"/>
  <c r="M12" i="7"/>
  <c r="F10" i="12"/>
  <c r="E11" i="7"/>
  <c r="E29" i="7"/>
  <c r="E20" i="7"/>
  <c r="F29" i="8"/>
  <c r="E37" i="8"/>
  <c r="F37" i="8" s="1"/>
  <c r="F5" i="8"/>
  <c r="E13" i="8"/>
  <c r="F13" i="8" s="1"/>
  <c r="C19" i="5"/>
  <c r="G14" i="12" l="1"/>
  <c r="L12" i="7"/>
  <c r="L13" i="7" s="1"/>
  <c r="G17" i="12"/>
  <c r="L30" i="7"/>
  <c r="L31" i="7" s="1"/>
  <c r="I12" i="7"/>
  <c r="I13" i="7" s="1"/>
  <c r="L21" i="7"/>
  <c r="L22" i="7" s="1"/>
  <c r="I30" i="7"/>
  <c r="I31" i="7" s="1"/>
  <c r="I21" i="7"/>
  <c r="I22" i="7" s="1"/>
  <c r="J12" i="7"/>
  <c r="J13" i="7" s="1"/>
  <c r="J21" i="7"/>
  <c r="J22" i="7" s="1"/>
  <c r="G15" i="12"/>
  <c r="J30" i="7"/>
  <c r="J31" i="7" s="1"/>
  <c r="G16" i="6"/>
  <c r="G12" i="12" s="1"/>
  <c r="H8" i="12"/>
  <c r="B42" i="12"/>
  <c r="E16" i="6"/>
  <c r="D5" i="5"/>
  <c r="D19" i="5" s="1"/>
  <c r="D4" i="12"/>
  <c r="D16" i="6"/>
  <c r="B41" i="12"/>
  <c r="N13" i="7"/>
  <c r="M13" i="7"/>
  <c r="N31" i="7"/>
  <c r="M31" i="7"/>
  <c r="O30" i="7"/>
  <c r="O31" i="7" s="1"/>
  <c r="O12" i="7"/>
  <c r="O13" i="7" s="1"/>
  <c r="G20" i="12"/>
  <c r="O21" i="7"/>
  <c r="O22" i="7" s="1"/>
  <c r="N22" i="7"/>
  <c r="O18" i="6"/>
  <c r="H20" i="12" s="1"/>
  <c r="G18" i="6"/>
  <c r="H12" i="12" s="1"/>
  <c r="K30" i="7"/>
  <c r="K31" i="7" s="1"/>
  <c r="K12" i="7"/>
  <c r="K13" i="7" s="1"/>
  <c r="G16" i="12"/>
  <c r="K21" i="7"/>
  <c r="K22" i="7" s="1"/>
  <c r="K18" i="6"/>
  <c r="H16" i="12" s="1"/>
  <c r="M22" i="7"/>
  <c r="G13" i="12"/>
  <c r="H30" i="7"/>
  <c r="H31" i="7" s="1"/>
  <c r="H21" i="7"/>
  <c r="H22" i="7" s="1"/>
  <c r="H12" i="7"/>
  <c r="H13" i="7" s="1"/>
  <c r="G11" i="12"/>
  <c r="F12" i="7"/>
  <c r="F13" i="7" s="1"/>
  <c r="F30" i="7"/>
  <c r="F31" i="7" s="1"/>
  <c r="F21" i="7"/>
  <c r="F22" i="7" s="1"/>
  <c r="G21" i="7" l="1"/>
  <c r="G22" i="7" s="1"/>
  <c r="G12" i="7"/>
  <c r="G13" i="7" s="1"/>
  <c r="G30" i="7"/>
  <c r="G31" i="7" s="1"/>
  <c r="G9" i="12"/>
  <c r="D12" i="7"/>
  <c r="D13" i="7" s="1"/>
  <c r="D30" i="7"/>
  <c r="D31" i="7" s="1"/>
  <c r="D21" i="7"/>
  <c r="D22" i="7" s="1"/>
  <c r="D18" i="6"/>
  <c r="D5" i="12"/>
  <c r="E5" i="5"/>
  <c r="E19" i="5" s="1"/>
  <c r="E21" i="7"/>
  <c r="E22" i="7" s="1"/>
  <c r="E12" i="7"/>
  <c r="E13" i="7" s="1"/>
  <c r="E30" i="7"/>
  <c r="E31" i="7" s="1"/>
  <c r="G10" i="12"/>
  <c r="E18" i="6"/>
  <c r="H10" i="12" s="1"/>
  <c r="D6" i="12" l="1"/>
  <c r="F5" i="5"/>
  <c r="F19" i="5" s="1"/>
  <c r="H9" i="12"/>
  <c r="C8" i="10"/>
  <c r="E38" i="7"/>
  <c r="F38" i="7" s="1"/>
  <c r="E22" i="10" s="1"/>
  <c r="E39" i="7"/>
  <c r="F39" i="7" s="1"/>
  <c r="E23" i="10" s="1"/>
  <c r="E40" i="7"/>
  <c r="F40" i="7" s="1"/>
  <c r="E24" i="10" s="1"/>
  <c r="C9" i="10" l="1"/>
  <c r="N5" i="2"/>
  <c r="C4" i="10"/>
  <c r="C5" i="6"/>
  <c r="C24" i="12"/>
  <c r="D24" i="12"/>
  <c r="D7" i="12"/>
  <c r="B24" i="12"/>
  <c r="C23" i="7" l="1"/>
  <c r="C24" i="7" s="1"/>
  <c r="C19" i="6"/>
  <c r="C14" i="7"/>
  <c r="C15" i="7" s="1"/>
  <c r="C32" i="7"/>
  <c r="C33" i="7" s="1"/>
  <c r="B5" i="2"/>
  <c r="C7" i="1"/>
  <c r="D14" i="7" l="1"/>
  <c r="D15" i="7" s="1"/>
  <c r="B25" i="12"/>
  <c r="C16" i="7"/>
  <c r="D8" i="12"/>
  <c r="C22" i="6"/>
  <c r="D5" i="6"/>
  <c r="D19" i="6" s="1"/>
  <c r="D25" i="12"/>
  <c r="C34" i="7"/>
  <c r="D32" i="7"/>
  <c r="D33" i="7" s="1"/>
  <c r="C25" i="12"/>
  <c r="C25" i="7"/>
  <c r="D23" i="7"/>
  <c r="D24" i="7" s="1"/>
  <c r="D9" i="12" l="1"/>
  <c r="D22" i="6"/>
  <c r="E5" i="6"/>
  <c r="E19" i="6" s="1"/>
  <c r="D26" i="12"/>
  <c r="E32" i="7"/>
  <c r="E33" i="7" s="1"/>
  <c r="D34" i="7"/>
  <c r="B26" i="12"/>
  <c r="E14" i="7"/>
  <c r="E15" i="7" s="1"/>
  <c r="D16" i="7"/>
  <c r="C26" i="12"/>
  <c r="D25" i="7"/>
  <c r="E23" i="7"/>
  <c r="E24" i="7" s="1"/>
  <c r="F14" i="7" l="1"/>
  <c r="F15" i="7" s="1"/>
  <c r="B27" i="12"/>
  <c r="E16" i="7"/>
  <c r="D27" i="12"/>
  <c r="F32" i="7"/>
  <c r="F33" i="7" s="1"/>
  <c r="E34" i="7"/>
  <c r="D10" i="12"/>
  <c r="E22" i="6"/>
  <c r="F5" i="6"/>
  <c r="F19" i="6" s="1"/>
  <c r="E25" i="7"/>
  <c r="C27" i="12"/>
  <c r="F23" i="7"/>
  <c r="F24" i="7" s="1"/>
  <c r="G5" i="6" l="1"/>
  <c r="G19" i="6" s="1"/>
  <c r="F22" i="6"/>
  <c r="D11" i="12"/>
  <c r="D28" i="12"/>
  <c r="F34" i="7"/>
  <c r="G32" i="7"/>
  <c r="G33" i="7" s="1"/>
  <c r="G14" i="7"/>
  <c r="G15" i="7" s="1"/>
  <c r="F16" i="7"/>
  <c r="B28" i="12"/>
  <c r="C28" i="12"/>
  <c r="G23" i="7"/>
  <c r="G24" i="7" s="1"/>
  <c r="F25" i="7"/>
  <c r="G34" i="7" l="1"/>
  <c r="D29" i="12"/>
  <c r="H32" i="7"/>
  <c r="H33" i="7" s="1"/>
  <c r="B29" i="12"/>
  <c r="G16" i="7"/>
  <c r="H14" i="7"/>
  <c r="H15" i="7" s="1"/>
  <c r="C29" i="12"/>
  <c r="H23" i="7"/>
  <c r="H24" i="7" s="1"/>
  <c r="G25" i="7"/>
  <c r="D12" i="12"/>
  <c r="H5" i="6"/>
  <c r="H19" i="6" s="1"/>
  <c r="G22" i="6"/>
  <c r="D13" i="12" l="1"/>
  <c r="I5" i="6"/>
  <c r="I19" i="6" s="1"/>
  <c r="H22" i="6"/>
  <c r="I32" i="7"/>
  <c r="I33" i="7" s="1"/>
  <c r="D30" i="12"/>
  <c r="H34" i="7"/>
  <c r="C30" i="12"/>
  <c r="I23" i="7"/>
  <c r="I24" i="7" s="1"/>
  <c r="H25" i="7"/>
  <c r="I14" i="7"/>
  <c r="I15" i="7" s="1"/>
  <c r="H16" i="7"/>
  <c r="B30" i="12"/>
  <c r="I16" i="7" l="1"/>
  <c r="B31" i="12"/>
  <c r="J14" i="7"/>
  <c r="J15" i="7" s="1"/>
  <c r="C31" i="12"/>
  <c r="I25" i="7"/>
  <c r="J23" i="7"/>
  <c r="J24" i="7" s="1"/>
  <c r="D31" i="12"/>
  <c r="J32" i="7"/>
  <c r="J33" i="7" s="1"/>
  <c r="I34" i="7"/>
  <c r="J5" i="6"/>
  <c r="J19" i="6" s="1"/>
  <c r="I22" i="6"/>
  <c r="D14" i="12"/>
  <c r="D15" i="12" l="1"/>
  <c r="J22" i="6"/>
  <c r="K5" i="6"/>
  <c r="K19" i="6" s="1"/>
  <c r="J34" i="7"/>
  <c r="D32" i="12"/>
  <c r="K32" i="7"/>
  <c r="K33" i="7" s="1"/>
  <c r="C32" i="12"/>
  <c r="J25" i="7"/>
  <c r="K23" i="7"/>
  <c r="K24" i="7" s="1"/>
  <c r="B32" i="12"/>
  <c r="J16" i="7"/>
  <c r="K14" i="7"/>
  <c r="K15" i="7" s="1"/>
  <c r="K16" i="7" l="1"/>
  <c r="B33" i="12"/>
  <c r="L14" i="7"/>
  <c r="L15" i="7" s="1"/>
  <c r="C33" i="12"/>
  <c r="K25" i="7"/>
  <c r="L23" i="7"/>
  <c r="L24" i="7" s="1"/>
  <c r="K34" i="7"/>
  <c r="L32" i="7"/>
  <c r="L33" i="7" s="1"/>
  <c r="D33" i="12"/>
  <c r="D16" i="12"/>
  <c r="L5" i="6"/>
  <c r="L19" i="6" s="1"/>
  <c r="K22" i="6"/>
  <c r="D17" i="12" l="1"/>
  <c r="M5" i="6"/>
  <c r="M19" i="6" s="1"/>
  <c r="L22" i="6"/>
  <c r="D34" i="12"/>
  <c r="M32" i="7"/>
  <c r="M33" i="7" s="1"/>
  <c r="L34" i="7"/>
  <c r="C34" i="12"/>
  <c r="L25" i="7"/>
  <c r="M23" i="7"/>
  <c r="M24" i="7" s="1"/>
  <c r="M14" i="7"/>
  <c r="M15" i="7" s="1"/>
  <c r="L16" i="7"/>
  <c r="B34" i="12"/>
  <c r="B35" i="12" l="1"/>
  <c r="M16" i="7"/>
  <c r="N14" i="7"/>
  <c r="N15" i="7" s="1"/>
  <c r="C35" i="12"/>
  <c r="M25" i="7"/>
  <c r="N23" i="7"/>
  <c r="N24" i="7" s="1"/>
  <c r="D35" i="12"/>
  <c r="M34" i="7"/>
  <c r="N32" i="7"/>
  <c r="N33" i="7" s="1"/>
  <c r="M22" i="6"/>
  <c r="D18" i="12"/>
  <c r="N5" i="6"/>
  <c r="N19" i="6" s="1"/>
  <c r="O5" i="6" l="1"/>
  <c r="O19" i="6" s="1"/>
  <c r="D19" i="12"/>
  <c r="N22" i="6"/>
  <c r="D36" i="12"/>
  <c r="N34" i="7"/>
  <c r="O32" i="7"/>
  <c r="O33" i="7" s="1"/>
  <c r="O23" i="7"/>
  <c r="O24" i="7" s="1"/>
  <c r="C36" i="12"/>
  <c r="N25" i="7"/>
  <c r="N16" i="7"/>
  <c r="O14" i="7"/>
  <c r="O15" i="7" s="1"/>
  <c r="B36" i="12"/>
  <c r="B37" i="12" l="1"/>
  <c r="C38" i="7"/>
  <c r="C22" i="10" s="1"/>
  <c r="O16" i="7"/>
  <c r="D38" i="7" s="1"/>
  <c r="D22" i="10" s="1"/>
  <c r="C37" i="12"/>
  <c r="C39" i="7"/>
  <c r="O25" i="7"/>
  <c r="D39" i="7" s="1"/>
  <c r="D23" i="10" s="1"/>
  <c r="D37" i="12"/>
  <c r="O34" i="7"/>
  <c r="D40" i="7" s="1"/>
  <c r="D24" i="10" s="1"/>
  <c r="C40" i="7"/>
  <c r="C24" i="10" s="1"/>
  <c r="C5" i="10"/>
  <c r="D20" i="12"/>
  <c r="O22" i="6"/>
  <c r="C7" i="10" s="1"/>
  <c r="E5" i="2" l="1"/>
  <c r="C8" i="1"/>
  <c r="H5" i="2"/>
  <c r="C9" i="1"/>
  <c r="K5" i="2"/>
  <c r="C10" i="1"/>
  <c r="C23" i="10"/>
</calcChain>
</file>

<file path=xl/sharedStrings.xml><?xml version="1.0" encoding="utf-8"?>
<sst xmlns="http://schemas.openxmlformats.org/spreadsheetml/2006/main" count="1451" uniqueCount="186">
  <si>
    <t>Purpose</t>
  </si>
  <si>
    <t>Cash today (Week 4 close)</t>
  </si>
  <si>
    <t>Week 17 ending cash (Base)</t>
  </si>
  <si>
    <t>Minimum covenant headroom (Base)</t>
  </si>
  <si>
    <t>Worst-case minimum headroom</t>
  </si>
  <si>
    <t>Dashboard</t>
  </si>
  <si>
    <t>KPI tiles and five charts: cash vs covenant, receipts vs disbursements, scenarios, disbursement mix, forecast accuracy.</t>
  </si>
  <si>
    <t>Assumptions</t>
  </si>
  <si>
    <t>Every input: AR/AP curves, sales &amp; purchases drivers, seasonality, the payroll/opex/capex/debt/tax schedule, covenant minimum.</t>
  </si>
  <si>
    <t>Driver Build</t>
  </si>
  <si>
    <t>Actuals</t>
  </si>
  <si>
    <t>Live Model</t>
  </si>
  <si>
    <t>Scenario</t>
  </si>
  <si>
    <t>Best / Base / Worst 13-week cash, headroom and runway comparison, driven by receipts and disbursements levers.</t>
  </si>
  <si>
    <t>Variance Calc</t>
  </si>
  <si>
    <t>Snapshot Log</t>
  </si>
  <si>
    <t>Append-only forecast history: every weekly 13-week forecast vintage plus every actual, stored as one long table. It is the data source for Variance Calc.</t>
  </si>
  <si>
    <t>KPI Summary</t>
  </si>
  <si>
    <t>One-page table of the headline numbers that the Dashboard displays.</t>
  </si>
  <si>
    <t>Chart Data</t>
  </si>
  <si>
    <t>Colour key</t>
  </si>
  <si>
    <t>Blue text</t>
  </si>
  <si>
    <t>Hard-coded input</t>
  </si>
  <si>
    <t>Black text</t>
  </si>
  <si>
    <t>Green text</t>
  </si>
  <si>
    <t>Link to another sheet</t>
  </si>
  <si>
    <t>Yellow fill</t>
  </si>
  <si>
    <t>Key assumption / scenario lever</t>
  </si>
  <si>
    <t>Data note</t>
  </si>
  <si>
    <t>All figures are synthetic, created for this portfolio project. No real company, customer, vendor or bank data is used. Curve shapes and seasonality are illustrative of a mid-size industrial manufacturer.</t>
  </si>
  <si>
    <t>Cash Today</t>
  </si>
  <si>
    <t>Week 17 Cash (Base)</t>
  </si>
  <si>
    <t>Min Headroom (Base)</t>
  </si>
  <si>
    <t>Min Headroom (Worst)</t>
  </si>
  <si>
    <t>Avg Weekly Net CF</t>
  </si>
  <si>
    <t>Meridian Fabrication Co. - 13-Week Rolling Cash Flow Forecast</t>
  </si>
  <si>
    <t>AR Collection Curve  (% of a week's billings collected, by weeks after invoice)</t>
  </si>
  <si>
    <t>Weeks After Invoice</t>
  </si>
  <si>
    <t>% Collected</t>
  </si>
  <si>
    <t>Week 0</t>
  </si>
  <si>
    <t>Week 1</t>
  </si>
  <si>
    <t>Week 2</t>
  </si>
  <si>
    <t>Week 3</t>
  </si>
  <si>
    <t>Week 4</t>
  </si>
  <si>
    <t>Bad Debt / Uncollectible</t>
  </si>
  <si>
    <t>Total</t>
  </si>
  <si>
    <t>AP Payment Curve  (% of a week's purchases paid, by weeks after purchase)</t>
  </si>
  <si>
    <t>Weeks After Purchase</t>
  </si>
  <si>
    <t>% Paid</t>
  </si>
  <si>
    <t>Sales &amp; Purchases Drivers</t>
  </si>
  <si>
    <t>Base Weekly Sales (Week 1 anchor)</t>
  </si>
  <si>
    <t>Underlying Weekly Growth Rate</t>
  </si>
  <si>
    <t>COGS / Purchases Ratio (% of Sales)</t>
  </si>
  <si>
    <t>Other Model Parameters</t>
  </si>
  <si>
    <t xml:space="preserve">Minimum Cash Covenant </t>
  </si>
  <si>
    <t>Beginning Cash Balance, Week 1</t>
  </si>
  <si>
    <t>Current As-Of Week (last closed actual week)</t>
  </si>
  <si>
    <t>Forecast Horizon (weeks)</t>
  </si>
  <si>
    <t>Seasonality Index by Week  (1.0 = normal week)</t>
  </si>
  <si>
    <t>Week #</t>
  </si>
  <si>
    <t>Week Ending</t>
  </si>
  <si>
    <t>Seasonality Index</t>
  </si>
  <si>
    <t>Disbursement &amp; Other-Receipt Schedule - Current Live Forecast (Weeks 5–17)</t>
  </si>
  <si>
    <t>Payroll</t>
  </si>
  <si>
    <t>Opex (incl. semi-annual insurance, Wk 11)</t>
  </si>
  <si>
    <t>Capex (see notes below)</t>
  </si>
  <si>
    <t>Debt Service (term loan P&amp;I)</t>
  </si>
  <si>
    <t>Taxes (Q4 estimated payment, Wk 12)</t>
  </si>
  <si>
    <t>Other Receipts (interest income)</t>
  </si>
  <si>
    <t>Capex Notes</t>
  </si>
  <si>
    <t>Week 7 (10/02/26): New CNC machining center</t>
  </si>
  <si>
    <t>Week 10 (10/23/26): Warehouse racking expansion</t>
  </si>
  <si>
    <t>Week 14 (11/20/26): ERP system upgrade (phase 1)</t>
  </si>
  <si>
    <t>Status</t>
  </si>
  <si>
    <t>Sales</t>
  </si>
  <si>
    <t>Purchases (COGS)</t>
  </si>
  <si>
    <t>Beginning Cash</t>
  </si>
  <si>
    <t>AR Collections</t>
  </si>
  <si>
    <t>Other Receipts</t>
  </si>
  <si>
    <t>Total Cash Receipts</t>
  </si>
  <si>
    <t>AP Payments</t>
  </si>
  <si>
    <t>Opex</t>
  </si>
  <si>
    <t>Capex</t>
  </si>
  <si>
    <t>Debt Service</t>
  </si>
  <si>
    <t>Taxes</t>
  </si>
  <si>
    <t>Total Disbursements</t>
  </si>
  <si>
    <t>Net Cash Flow</t>
  </si>
  <si>
    <t>Ending Cash</t>
  </si>
  <si>
    <t>Minimum Cash Covenant</t>
  </si>
  <si>
    <t>Covenant Headroom</t>
  </si>
  <si>
    <t>Scenario Levers</t>
  </si>
  <si>
    <t>Receipts Adj.</t>
  </si>
  <si>
    <t>Disbursements Adj.</t>
  </si>
  <si>
    <t>Best</t>
  </si>
  <si>
    <t>Base</t>
  </si>
  <si>
    <t>Worst</t>
  </si>
  <si>
    <t>Best Case</t>
  </si>
  <si>
    <t>Total Receipts</t>
  </si>
  <si>
    <t>Base Case</t>
  </si>
  <si>
    <t>Worst Case</t>
  </si>
  <si>
    <t>Summary</t>
  </si>
  <si>
    <t>Week 17 Ending Cash</t>
  </si>
  <si>
    <t>Min. Covenant Headroom</t>
  </si>
  <si>
    <t>Weeks of Runway</t>
  </si>
  <si>
    <t>Week 1  (Week Ending 08/21/2026)</t>
  </si>
  <si>
    <t>Category</t>
  </si>
  <si>
    <t>Actual</t>
  </si>
  <si>
    <t>Prior Forecast</t>
  </si>
  <si>
    <t>Variance $</t>
  </si>
  <si>
    <t>Variance %</t>
  </si>
  <si>
    <t>Week 2  (Week Ending 08/28/2026)</t>
  </si>
  <si>
    <t xml:space="preserve">Prior Forecast </t>
  </si>
  <si>
    <t>Week 3  (Week Ending 09/04/2026)</t>
  </si>
  <si>
    <t>Week 4  (Week Ending 09/11/2026)</t>
  </si>
  <si>
    <t>Horizon (weeks out)</t>
  </si>
  <si>
    <t>Weeks With Data</t>
  </si>
  <si>
    <t>Week</t>
  </si>
  <si>
    <t>Horizon</t>
  </si>
  <si>
    <t>Actual Total Receipts</t>
  </si>
  <si>
    <t>Forecast Total Receipts</t>
  </si>
  <si>
    <t>Append-only forecast history. Each weekly roll appends that week's 13-week forecast (Type = Forecast); each week close appends its Actual (Type = Actual). Existing rows are never overwritten. Variance Calc reads this table with SUMIFS to compare actuals with earlier forecast vintages.</t>
  </si>
  <si>
    <t>AsOfWeek</t>
  </si>
  <si>
    <t>ForecastWeek</t>
  </si>
  <si>
    <t>Amount</t>
  </si>
  <si>
    <t>Type</t>
  </si>
  <si>
    <t>Forecast</t>
  </si>
  <si>
    <t>Cash Position</t>
  </si>
  <si>
    <t>Current Cash (Week 4 actual ending)</t>
  </si>
  <si>
    <t>13-Week-Forward Ending Cash (Week 17 forecast)</t>
  </si>
  <si>
    <t>Minimum Covenant Headroom Over Horizon</t>
  </si>
  <si>
    <t>Average Weekly Net Cash Flow (Base, 13-wk horizon)</t>
  </si>
  <si>
    <t>Weeks of Runway (Base)</t>
  </si>
  <si>
    <t>Latest Close - Variance vs. Prior Week's Forecast (Week 4)</t>
  </si>
  <si>
    <t>Actual Total Net Cash Flow</t>
  </si>
  <si>
    <t>Forecast Accuracy, 1-Week-Out (Total Receipts, latest closed week)</t>
  </si>
  <si>
    <t>Forecast Accuracy Trend (Total Cash Receipts, by horizon)</t>
  </si>
  <si>
    <t>1-Week-Out Avg (Variance %)</t>
  </si>
  <si>
    <t>2-Week-Out Avg (Variance %)</t>
  </si>
  <si>
    <t>3-Week-Out Avg (Variance %)</t>
  </si>
  <si>
    <t>4-Week-Out Avg (Variance %)</t>
  </si>
  <si>
    <t>Min Covenant</t>
  </si>
  <si>
    <t>Receipts</t>
  </si>
  <si>
    <t>Disbursements</t>
  </si>
  <si>
    <t>W1</t>
  </si>
  <si>
    <t>W2</t>
  </si>
  <si>
    <t>W3</t>
  </si>
  <si>
    <t>W4</t>
  </si>
  <si>
    <t>W5</t>
  </si>
  <si>
    <t>W6</t>
  </si>
  <si>
    <t>W7</t>
  </si>
  <si>
    <t>W8</t>
  </si>
  <si>
    <t>W9</t>
  </si>
  <si>
    <t>W10</t>
  </si>
  <si>
    <t>W11</t>
  </si>
  <si>
    <t>W12</t>
  </si>
  <si>
    <t>W13</t>
  </si>
  <si>
    <t>W14</t>
  </si>
  <si>
    <t>W15</t>
  </si>
  <si>
    <t>W16</t>
  </si>
  <si>
    <t>W17</t>
  </si>
  <si>
    <t>1 wk out</t>
  </si>
  <si>
    <t>2 wk out</t>
  </si>
  <si>
    <t>3 wk out</t>
  </si>
  <si>
    <t>4 wk out</t>
  </si>
  <si>
    <t>Tab guide</t>
  </si>
  <si>
    <t>Actuals - Closed Weeks 1 - 4</t>
  </si>
  <si>
    <t>Scenario Comparison - Best / Base / Worst Case (13-Week Horizon)</t>
  </si>
  <si>
    <t>Avg Variance %</t>
  </si>
  <si>
    <t>Forecast Accuracy by Horizon (Total Cash Receipts, Variance % averaged across available weeks)</t>
  </si>
  <si>
    <t xml:space="preserve">Helper: per-week variance % by horizon </t>
  </si>
  <si>
    <t>Chart Data - helper ranges for the Dashboard</t>
  </si>
  <si>
    <t>Closed Weeks 1-4: what really happened, by cash-flow category.</t>
  </si>
  <si>
    <t>Weekly Sales and Purchases, Weeks 1-17 (4 closed actual + 13 forecast). Feeds the AR/AP lag calculation.</t>
  </si>
  <si>
    <t>Actual vs. the prior forecast for each closed week, plus forecast accuracy by horizon (1-4 weeks out).</t>
  </si>
  <si>
    <t>Helper ranges that feed the Dashboard charts</t>
  </si>
  <si>
    <t xml:space="preserve">Formula </t>
  </si>
  <si>
    <t>Headline results</t>
  </si>
  <si>
    <t>The current 13-week rolling forecast (Weeks 5-17), fully formula-driven.</t>
  </si>
  <si>
    <t>Meridian Fabrication Co. 13 - Week Rolling Cash Flow Forecast</t>
  </si>
  <si>
    <t>A treasury style 13-week cash forecast for a mid-size manufacturer. It converts weekly sales and purchases into cash receipts and payments using AR collection and AP payment lag curves, layers on payroll, opex, capex, debt service and taxes, tests the result against a minimum-cash covenant, stress-tests it with Best / Base / Worst scenarios, and measures how accurate past forecasts were.</t>
  </si>
  <si>
    <t>Scenario Comparison - 13 Week Horizon</t>
  </si>
  <si>
    <t>1-Wk Out Accuracy</t>
  </si>
  <si>
    <t>Meridian Fabrication Co. - 13 Week Cash Forecast Dashboard</t>
  </si>
  <si>
    <t>Variance vs. Prior Week's Forecast - Closed Weeks 1- 4</t>
  </si>
  <si>
    <t>Live 13-Week Rolling Cash Flow Forecast - As Of Week 4 (09/11/2026)</t>
  </si>
  <si>
    <t>Sales &amp; Purchases Driver Build  (Weeks 1-17)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</si>
</sst>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quot;($&quot;#,##0\);\-"/>
    <numFmt numFmtId="165" formatCode="0.0%"/>
    <numFmt numFmtId="166" formatCode="mm/dd/yyyy"/>
    <numFmt numFmtId="167" formatCode="\+0.0%;\-0.0%"/>
    <numFmt numFmtId="168" formatCode="0.0"/>
    <numFmt numFmtId="169" formatCode="dd\-mmm"/>
  </numFmts>
  <fonts count="23" x14ac:knownFonts="1">
    <font>
      <sz val="11"/>
      <color theme="1"/>
      <name val="Calibri"/>
      <family val="2"/>
      <charset val="1"/>
    </font>
    <font>
      <sz val="10"/>
      <name val="Arial"/>
      <family val="2"/>
    </font>
    <font>
      <sz val="10"/>
      <name val="Arial"/>
      <family val="2"/>
    </font>
    <font>
      <b/>
      <sz val="16"/>
      <color rgb="FF1F3864"/>
      <name val="Arial"/>
      <family val="2"/>
    </font>
    <font>
      <i/>
      <sz val="10"/>
      <color rgb="FF595959"/>
      <name val="Arial"/>
      <family val="2"/>
    </font>
    <font>
      <b/>
      <sz val="11"/>
      <color rgb="FFFFFFFF"/>
      <name val="Arial"/>
      <family val="2"/>
    </font>
    <font>
      <b/>
      <sz val="10"/>
      <color rgb="FF008000"/>
      <name val="Arial"/>
      <family val="2"/>
    </font>
    <font>
      <sz val="10"/>
      <color rgb="FF0000FF"/>
      <name val="Arial"/>
      <family val="2"/>
    </font>
    <font>
      <sz val="10"/>
      <color rgb="FF008000"/>
      <name val="Arial"/>
      <family val="2"/>
    </font>
    <font>
      <b/>
      <sz val="18"/>
      <color rgb="FF1F3864"/>
      <name val="Arial"/>
      <family val="2"/>
    </font>
    <font>
      <b/>
      <sz val="9"/>
      <color rgb="FFFFFFFF"/>
      <name val="Arial"/>
      <family val="2"/>
    </font>
    <font>
      <b/>
      <sz val="14"/>
      <color rgb="FF1F3864"/>
      <name val="Arial"/>
      <family val="2"/>
    </font>
    <font>
      <i/>
      <sz val="9"/>
      <color rgb="FF595959"/>
      <name val="Arial"/>
      <family val="2"/>
    </font>
    <font>
      <b/>
      <sz val="11"/>
      <color rgb="FF1F3864"/>
      <name val="Arial"/>
      <family val="2"/>
    </font>
    <font>
      <b/>
      <sz val="10"/>
      <name val="Arial"/>
      <family val="2"/>
    </font>
    <font>
      <sz val="10"/>
      <color rgb="FF000000"/>
      <name val="Arial"/>
      <family val="2"/>
    </font>
    <font>
      <sz val="10"/>
      <color theme="1"/>
      <name val="Arial"/>
      <family val="2"/>
      <charset val="1"/>
    </font>
    <font>
      <b/>
      <sz val="10"/>
      <color rgb="FFFFFFFF"/>
      <name val="Arial"/>
      <family val="2"/>
    </font>
    <font>
      <b/>
      <sz val="14"/>
      <color rgb="FF1F3864"/>
      <name val="Arial"/>
      <family val="2"/>
      <charset val="1"/>
    </font>
    <font>
      <sz val="10"/>
      <color rgb="FF000000"/>
      <name val="Arial"/>
      <family val="2"/>
      <charset val="1"/>
    </font>
    <font>
      <b/>
      <sz val="12"/>
      <color rgb="FF1F3864"/>
      <name val="Arial"/>
      <family val="2"/>
    </font>
    <font>
      <u/>
      <sz val="11"/>
      <color theme="10"/>
      <name val="Calibri"/>
      <family val="2"/>
      <charset val="1"/>
    </font>
    <font>
      <sz val="9"/>
      <color rgb="FF595959"/>
      <name val="Arial"/>
      <family val="2"/>
    </font>
  </fonts>
  <fills count="6">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EAF0F8"/>
        <bgColor rgb="FFD9E1F2"/>
      </patternFill>
    </fill>
    <fill>
      <patternFill patternType="solid">
        <fgColor rgb="FFD9E1F2"/>
        <bgColor rgb="FFE0E0E0"/>
      </patternFill>
    </fill>
  </fills>
  <borders count="1">
    <border>
      <left/>
      <right/>
      <top/>
      <bottom/>
      <diagonal/>
    </border>
  </borders>
  <cellStyleXfs count="2">
    <xf numFmtId="0" fontId="0" fillId="0" borderId="0"/>
    <xf numFmtId="0" fontId="21" fillId="0" borderId="0" applyNumberFormat="0" applyFill="0" applyBorder="0" applyAlignment="0" applyProtection="0"/>
  </cellStyleXfs>
  <cellXfs count="60">
    <xf numFmtId="0" fontId="0" fillId="0" borderId="0" xfId="0"/>
    <xf numFmtId="0" fontId="2" fillId="0" borderId="0" xfId="0" applyFont="1" applyAlignment="1">
      <alignment vertical="top" wrapText="1"/>
    </xf>
    <xf numFmtId="0" fontId="2" fillId="0" borderId="0" xfId="0" applyFont="1"/>
    <xf numFmtId="0" fontId="3" fillId="0" borderId="0" xfId="0" applyFont="1"/>
    <xf numFmtId="0" fontId="4" fillId="0" borderId="0" xfId="0" applyFont="1"/>
    <xf numFmtId="0" fontId="5" fillId="2" borderId="0" xfId="0" applyFont="1" applyFill="1"/>
    <xf numFmtId="0" fontId="2" fillId="2" borderId="0" xfId="0" applyFont="1" applyFill="1"/>
    <xf numFmtId="164" fontId="6" fillId="0" borderId="0" xfId="0" applyNumberFormat="1" applyFont="1" applyAlignment="1">
      <alignment horizontal="left"/>
    </xf>
    <xf numFmtId="0" fontId="7" fillId="0" borderId="0" xfId="0" applyFont="1"/>
    <xf numFmtId="0" fontId="8" fillId="0" borderId="0" xfId="0" applyFont="1"/>
    <xf numFmtId="0" fontId="2" fillId="3" borderId="0" xfId="0" applyFont="1" applyFill="1"/>
    <xf numFmtId="0" fontId="0" fillId="2" borderId="0" xfId="0" applyFill="1"/>
    <xf numFmtId="0" fontId="9" fillId="0" borderId="0" xfId="0" applyFont="1"/>
    <xf numFmtId="0" fontId="12" fillId="0" borderId="0" xfId="0" applyFont="1"/>
    <xf numFmtId="0" fontId="13" fillId="0" borderId="0" xfId="0" applyFont="1"/>
    <xf numFmtId="0" fontId="11" fillId="0" borderId="0" xfId="0" applyFont="1"/>
    <xf numFmtId="0" fontId="14" fillId="5" borderId="0" xfId="0" applyFont="1" applyFill="1"/>
    <xf numFmtId="0" fontId="15" fillId="0" borderId="0" xfId="0" applyFont="1"/>
    <xf numFmtId="165" fontId="7" fillId="3" borderId="0" xfId="0" applyNumberFormat="1" applyFont="1" applyFill="1"/>
    <xf numFmtId="0" fontId="14" fillId="0" borderId="0" xfId="0" applyFont="1"/>
    <xf numFmtId="165" fontId="14" fillId="0" borderId="0" xfId="0" applyNumberFormat="1" applyFont="1"/>
    <xf numFmtId="164" fontId="7" fillId="3" borderId="0" xfId="0" applyNumberFormat="1" applyFont="1" applyFill="1"/>
    <xf numFmtId="10" fontId="7" fillId="3" borderId="0" xfId="0" applyNumberFormat="1" applyFont="1" applyFill="1"/>
    <xf numFmtId="164" fontId="7" fillId="0" borderId="0" xfId="0" applyNumberFormat="1" applyFont="1"/>
    <xf numFmtId="0" fontId="7" fillId="3" borderId="0" xfId="0" applyFont="1" applyFill="1"/>
    <xf numFmtId="166" fontId="7" fillId="0" borderId="0" xfId="0" applyNumberFormat="1" applyFont="1"/>
    <xf numFmtId="2" fontId="7" fillId="3" borderId="0" xfId="0" applyNumberFormat="1" applyFont="1" applyFill="1"/>
    <xf numFmtId="166" fontId="16" fillId="0" borderId="0" xfId="0" applyNumberFormat="1" applyFont="1"/>
    <xf numFmtId="166" fontId="8" fillId="0" borderId="0" xfId="0" applyNumberFormat="1" applyFont="1"/>
    <xf numFmtId="164" fontId="16" fillId="0" borderId="0" xfId="0" applyNumberFormat="1" applyFont="1"/>
    <xf numFmtId="164" fontId="15" fillId="0" borderId="0" xfId="0" applyNumberFormat="1" applyFont="1"/>
    <xf numFmtId="164" fontId="8" fillId="0" borderId="0" xfId="0" applyNumberFormat="1" applyFont="1"/>
    <xf numFmtId="164" fontId="14" fillId="0" borderId="0" xfId="0" applyNumberFormat="1" applyFont="1"/>
    <xf numFmtId="167" fontId="7" fillId="3" borderId="0" xfId="0" applyNumberFormat="1" applyFont="1" applyFill="1"/>
    <xf numFmtId="168" fontId="15" fillId="0" borderId="0" xfId="0" applyNumberFormat="1" applyFont="1"/>
    <xf numFmtId="165" fontId="15" fillId="0" borderId="0" xfId="0" applyNumberFormat="1" applyFont="1"/>
    <xf numFmtId="0" fontId="17" fillId="2" borderId="0" xfId="0" applyFont="1" applyFill="1"/>
    <xf numFmtId="0" fontId="18" fillId="0" borderId="0" xfId="0" applyFont="1"/>
    <xf numFmtId="168" fontId="14" fillId="0" borderId="0" xfId="0" applyNumberFormat="1" applyFont="1"/>
    <xf numFmtId="165" fontId="8" fillId="0" borderId="0" xfId="0" applyNumberFormat="1" applyFont="1"/>
    <xf numFmtId="0" fontId="19" fillId="0" borderId="0" xfId="0" applyFont="1"/>
    <xf numFmtId="168" fontId="8" fillId="0" borderId="0" xfId="0" applyNumberFormat="1" applyFont="1"/>
    <xf numFmtId="0" fontId="17" fillId="2" borderId="0" xfId="0" applyFont="1" applyFill="1" applyAlignment="1">
      <alignment horizontal="center" wrapText="1"/>
    </xf>
    <xf numFmtId="0" fontId="20" fillId="0" borderId="0" xfId="0" applyFont="1"/>
    <xf numFmtId="169" fontId="8" fillId="0" borderId="0" xfId="0" applyNumberFormat="1" applyFont="1"/>
    <xf numFmtId="164" fontId="17" fillId="2" borderId="0" xfId="0" applyNumberFormat="1" applyFont="1" applyFill="1" applyAlignment="1">
      <alignment horizontal="center" wrapText="1"/>
    </xf>
    <xf numFmtId="0" fontId="1" fillId="0" borderId="0" xfId="0" applyFont="1" applyAlignment="1">
      <alignment vertical="top" wrapText="1"/>
    </xf>
    <xf numFmtId="0" fontId="14" fillId="5" borderId="0" xfId="0" applyFont="1" applyFill="1" applyAlignment="1">
      <alignment horizontal="right"/>
    </xf>
    <xf numFmtId="0" fontId="17" fillId="2" borderId="0" xfId="0" applyFont="1" applyFill="1" applyAlignment="1">
      <alignment horizontal="left" vertical="center" wrapText="1"/>
    </xf>
    <xf numFmtId="0" fontId="17" fillId="2" borderId="0" xfId="0" applyFont="1" applyFill="1" applyAlignment="1">
      <alignment horizontal="center" vertical="center" wrapText="1"/>
    </xf>
    <xf numFmtId="0" fontId="1" fillId="0" borderId="0" xfId="0" applyFont="1"/>
    <xf numFmtId="0" fontId="21" fillId="0" borderId="0" xfId="1" applyAlignment="1">
      <alignment vertical="top"/>
    </xf>
    <xf numFmtId="0" fontId="5" fillId="2" borderId="0" xfId="0" applyFont="1" applyFill="1" applyAlignment="1">
      <alignment vertical="center"/>
    </xf>
    <xf numFmtId="0" fontId="17" fillId="2" borderId="0" xfId="0" applyFont="1" applyFill="1" applyAlignment="1">
      <alignment horizontal="left" wrapText="1"/>
    </xf>
    <xf numFmtId="0" fontId="2" fillId="0" borderId="0" xfId="0" applyFont="1" applyAlignment="1">
      <alignment vertical="top" wrapText="1"/>
    </xf>
    <xf numFmtId="0" fontId="10" fillId="2" borderId="0" xfId="0" applyFont="1" applyFill="1" applyAlignment="1">
      <alignment horizontal="center"/>
    </xf>
    <xf numFmtId="164" fontId="11" fillId="4" borderId="0" xfId="0" applyNumberFormat="1" applyFont="1" applyFill="1" applyAlignment="1">
      <alignment horizontal="center" vertical="center"/>
    </xf>
    <xf numFmtId="165" fontId="11" fillId="4" borderId="0" xfId="0" applyNumberFormat="1" applyFont="1" applyFill="1" applyAlignment="1">
      <alignment horizontal="center" vertical="center"/>
    </xf>
    <xf numFmtId="0" fontId="1" fillId="0" borderId="0" xfId="0" applyFont="1" applyAlignment="1">
      <alignment vertical="top" wrapText="1"/>
    </xf>
    <xf numFmtId="0" fontId="22"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548235"/>
      <rgbColor rgb="FF800080"/>
      <rgbColor rgb="FF008080"/>
      <rgbColor rgb="FFB3B3B3"/>
      <rgbColor rgb="FF808080"/>
      <rgbColor rgb="FF9999FF"/>
      <rgbColor rgb="FF7030A0"/>
      <rgbColor rgb="FFE0E0E0"/>
      <rgbColor rgb="FFEAF0F8"/>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D9E1F2"/>
      <rgbColor rgb="FFC6EFCE"/>
      <rgbColor rgb="FFFFFF99"/>
      <rgbColor rgb="FF9DC3E6"/>
      <rgbColor rgb="FFFF99CC"/>
      <rgbColor rgb="FFCC99FF"/>
      <rgbColor rgb="FFFFC7CE"/>
      <rgbColor rgb="FF2E75B6"/>
      <rgbColor rgb="FF33CCCC"/>
      <rgbColor rgb="FF99CC00"/>
      <rgbColor rgb="FFFFCC00"/>
      <rgbColor rgb="FFBF8F00"/>
      <rgbColor rgb="FFFF6600"/>
      <rgbColor rgb="FF595959"/>
      <rgbColor rgb="FF7F7F7F"/>
      <rgbColor rgb="FF1F3864"/>
      <rgbColor rgb="FF339966"/>
      <rgbColor rgb="FF0061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200" b="1" strike="noStrike" spc="-1">
                <a:solidFill>
                  <a:srgbClr val="000000"/>
                </a:solidFill>
                <a:latin typeface="Arial"/>
              </a:defRPr>
            </a:pPr>
            <a:r>
              <a:rPr lang="en-IN" sz="1200" b="1" strike="noStrike" spc="-1">
                <a:solidFill>
                  <a:srgbClr val="000000"/>
                </a:solidFill>
                <a:latin typeface="Arial"/>
              </a:rPr>
              <a:t>Ending Cash vs. Minimum Covenant (Wk 1-</a:t>
            </a:r>
            <a:r>
              <a:rPr lang="en-IN" sz="1200" b="1" strike="noStrike" spc="-1" baseline="0">
                <a:solidFill>
                  <a:srgbClr val="000000"/>
                </a:solidFill>
                <a:latin typeface="Arial"/>
              </a:rPr>
              <a:t> </a:t>
            </a:r>
            <a:r>
              <a:rPr lang="en-IN" sz="1200" b="1" strike="noStrike" spc="-1">
                <a:solidFill>
                  <a:srgbClr val="000000"/>
                </a:solidFill>
                <a:latin typeface="Arial"/>
              </a:rPr>
              <a:t>4 actual, Wk 5</a:t>
            </a:r>
            <a:r>
              <a:rPr lang="en-IN" sz="1200" b="1" strike="noStrike" spc="-1" baseline="0">
                <a:solidFill>
                  <a:srgbClr val="000000"/>
                </a:solidFill>
                <a:latin typeface="Arial"/>
              </a:rPr>
              <a:t> - </a:t>
            </a:r>
            <a:r>
              <a:rPr lang="en-IN" sz="1200" b="1" strike="noStrike" spc="-1">
                <a:solidFill>
                  <a:srgbClr val="000000"/>
                </a:solidFill>
                <a:latin typeface="Arial"/>
              </a:rPr>
              <a:t>17 forecast)</a:t>
            </a:r>
          </a:p>
        </c:rich>
      </c:tx>
      <c:overlay val="0"/>
      <c:spPr>
        <a:noFill/>
        <a:ln w="0">
          <a:noFill/>
        </a:ln>
      </c:spPr>
    </c:title>
    <c:autoTitleDeleted val="0"/>
    <c:plotArea>
      <c:layout/>
      <c:lineChart>
        <c:grouping val="standard"/>
        <c:varyColors val="0"/>
        <c:ser>
          <c:idx val="0"/>
          <c:order val="0"/>
          <c:tx>
            <c:strRef>
              <c:f>'Chart Data'!$D$3</c:f>
              <c:strCache>
                <c:ptCount val="1"/>
                <c:pt idx="0">
                  <c:v>Ending Cash</c:v>
                </c:pt>
              </c:strCache>
            </c:strRef>
          </c:tx>
          <c:spPr>
            <a:ln w="34920">
              <a:solidFill>
                <a:srgbClr val="1F386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Data'!$A$4:$A$20</c:f>
              <c:strCache>
                <c:ptCount val="17"/>
                <c:pt idx="0">
                  <c:v>W1</c:v>
                </c:pt>
                <c:pt idx="1">
                  <c:v>W2</c:v>
                </c:pt>
                <c:pt idx="2">
                  <c:v>W3</c:v>
                </c:pt>
                <c:pt idx="3">
                  <c:v>W4</c:v>
                </c:pt>
                <c:pt idx="4">
                  <c:v>W5</c:v>
                </c:pt>
                <c:pt idx="5">
                  <c:v>W6</c:v>
                </c:pt>
                <c:pt idx="6">
                  <c:v>W7</c:v>
                </c:pt>
                <c:pt idx="7">
                  <c:v>W8</c:v>
                </c:pt>
                <c:pt idx="8">
                  <c:v>W9</c:v>
                </c:pt>
                <c:pt idx="9">
                  <c:v>W10</c:v>
                </c:pt>
                <c:pt idx="10">
                  <c:v>W11</c:v>
                </c:pt>
                <c:pt idx="11">
                  <c:v>W12</c:v>
                </c:pt>
                <c:pt idx="12">
                  <c:v>W13</c:v>
                </c:pt>
                <c:pt idx="13">
                  <c:v>W14</c:v>
                </c:pt>
                <c:pt idx="14">
                  <c:v>W15</c:v>
                </c:pt>
                <c:pt idx="15">
                  <c:v>W16</c:v>
                </c:pt>
                <c:pt idx="16">
                  <c:v>W17</c:v>
                </c:pt>
              </c:strCache>
            </c:strRef>
          </c:cat>
          <c:val>
            <c:numRef>
              <c:f>'Chart Data'!$D$4:$D$20</c:f>
              <c:numCache>
                <c:formatCode>\$#,##0;"($"#,##0\);\-</c:formatCode>
                <c:ptCount val="17"/>
                <c:pt idx="0">
                  <c:v>3069000</c:v>
                </c:pt>
                <c:pt idx="1">
                  <c:v>2977000</c:v>
                </c:pt>
                <c:pt idx="2">
                  <c:v>3372000</c:v>
                </c:pt>
                <c:pt idx="3">
                  <c:v>3267000</c:v>
                </c:pt>
                <c:pt idx="4">
                  <c:v>3531721.5141869904</c:v>
                </c:pt>
                <c:pt idx="5">
                  <c:v>3482525.8728611004</c:v>
                </c:pt>
                <c:pt idx="6">
                  <c:v>3513972.4537552232</c:v>
                </c:pt>
                <c:pt idx="7">
                  <c:v>3471299.5323485453</c:v>
                </c:pt>
                <c:pt idx="8">
                  <c:v>3749326.4791802992</c:v>
                </c:pt>
                <c:pt idx="9">
                  <c:v>3628213.0892061563</c:v>
                </c:pt>
                <c:pt idx="10">
                  <c:v>3722143.3227477511</c:v>
                </c:pt>
                <c:pt idx="11">
                  <c:v>3348934.3965466479</c:v>
                </c:pt>
                <c:pt idx="12">
                  <c:v>3586448.0206453083</c:v>
                </c:pt>
                <c:pt idx="13">
                  <c:v>3337296.2675288431</c:v>
                </c:pt>
                <c:pt idx="14">
                  <c:v>3523967.7466717772</c:v>
                </c:pt>
                <c:pt idx="15">
                  <c:v>3257387.6595219369</c:v>
                </c:pt>
                <c:pt idx="16">
                  <c:v>3440602.9001433006</c:v>
                </c:pt>
              </c:numCache>
            </c:numRef>
          </c:val>
          <c:smooth val="0"/>
          <c:extLst>
            <c:ext xmlns:c16="http://schemas.microsoft.com/office/drawing/2014/chart" uri="{C3380CC4-5D6E-409C-BE32-E72D297353CC}">
              <c16:uniqueId val="{00000000-D2B3-4F78-B623-4F93FA3B2B1B}"/>
            </c:ext>
          </c:extLst>
        </c:ser>
        <c:ser>
          <c:idx val="1"/>
          <c:order val="1"/>
          <c:tx>
            <c:strRef>
              <c:f>'Chart Data'!$E$3</c:f>
              <c:strCache>
                <c:ptCount val="1"/>
                <c:pt idx="0">
                  <c:v>Min Covenant</c:v>
                </c:pt>
              </c:strCache>
            </c:strRef>
          </c:tx>
          <c:spPr>
            <a:ln w="22320">
              <a:solidFill>
                <a:srgbClr val="C00000"/>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Data'!$A$4:$A$20</c:f>
              <c:strCache>
                <c:ptCount val="17"/>
                <c:pt idx="0">
                  <c:v>W1</c:v>
                </c:pt>
                <c:pt idx="1">
                  <c:v>W2</c:v>
                </c:pt>
                <c:pt idx="2">
                  <c:v>W3</c:v>
                </c:pt>
                <c:pt idx="3">
                  <c:v>W4</c:v>
                </c:pt>
                <c:pt idx="4">
                  <c:v>W5</c:v>
                </c:pt>
                <c:pt idx="5">
                  <c:v>W6</c:v>
                </c:pt>
                <c:pt idx="6">
                  <c:v>W7</c:v>
                </c:pt>
                <c:pt idx="7">
                  <c:v>W8</c:v>
                </c:pt>
                <c:pt idx="8">
                  <c:v>W9</c:v>
                </c:pt>
                <c:pt idx="9">
                  <c:v>W10</c:v>
                </c:pt>
                <c:pt idx="10">
                  <c:v>W11</c:v>
                </c:pt>
                <c:pt idx="11">
                  <c:v>W12</c:v>
                </c:pt>
                <c:pt idx="12">
                  <c:v>W13</c:v>
                </c:pt>
                <c:pt idx="13">
                  <c:v>W14</c:v>
                </c:pt>
                <c:pt idx="14">
                  <c:v>W15</c:v>
                </c:pt>
                <c:pt idx="15">
                  <c:v>W16</c:v>
                </c:pt>
                <c:pt idx="16">
                  <c:v>W17</c:v>
                </c:pt>
              </c:strCache>
            </c:strRef>
          </c:cat>
          <c:val>
            <c:numRef>
              <c:f>'Chart Data'!$E$4:$E$20</c:f>
              <c:numCache>
                <c:formatCode>\$#,##0;"($"#,##0\);\-</c:formatCode>
                <c:ptCount val="17"/>
                <c:pt idx="0">
                  <c:v>1200000</c:v>
                </c:pt>
                <c:pt idx="1">
                  <c:v>1200000</c:v>
                </c:pt>
                <c:pt idx="2">
                  <c:v>1200000</c:v>
                </c:pt>
                <c:pt idx="3">
                  <c:v>1200000</c:v>
                </c:pt>
                <c:pt idx="4">
                  <c:v>1200000</c:v>
                </c:pt>
                <c:pt idx="5">
                  <c:v>1200000</c:v>
                </c:pt>
                <c:pt idx="6">
                  <c:v>1200000</c:v>
                </c:pt>
                <c:pt idx="7">
                  <c:v>1200000</c:v>
                </c:pt>
                <c:pt idx="8">
                  <c:v>1200000</c:v>
                </c:pt>
                <c:pt idx="9">
                  <c:v>1200000</c:v>
                </c:pt>
                <c:pt idx="10">
                  <c:v>1200000</c:v>
                </c:pt>
                <c:pt idx="11">
                  <c:v>1200000</c:v>
                </c:pt>
                <c:pt idx="12">
                  <c:v>1200000</c:v>
                </c:pt>
                <c:pt idx="13">
                  <c:v>1200000</c:v>
                </c:pt>
                <c:pt idx="14">
                  <c:v>1200000</c:v>
                </c:pt>
                <c:pt idx="15">
                  <c:v>1200000</c:v>
                </c:pt>
                <c:pt idx="16">
                  <c:v>1200000</c:v>
                </c:pt>
              </c:numCache>
            </c:numRef>
          </c:val>
          <c:smooth val="0"/>
          <c:extLst>
            <c:ext xmlns:c16="http://schemas.microsoft.com/office/drawing/2014/chart" uri="{C3380CC4-5D6E-409C-BE32-E72D297353CC}">
              <c16:uniqueId val="{00000001-D2B3-4F78-B623-4F93FA3B2B1B}"/>
            </c:ext>
          </c:extLst>
        </c:ser>
        <c:dLbls>
          <c:showLegendKey val="0"/>
          <c:showVal val="0"/>
          <c:showCatName val="0"/>
          <c:showSerName val="0"/>
          <c:showPercent val="0"/>
          <c:showBubbleSize val="0"/>
        </c:dLbls>
        <c:hiLowLines>
          <c:spPr>
            <a:ln w="0">
              <a:noFill/>
            </a:ln>
          </c:spPr>
        </c:hiLowLines>
        <c:smooth val="0"/>
        <c:axId val="50362662"/>
        <c:axId val="55980409"/>
      </c:lineChart>
      <c:catAx>
        <c:axId val="50362662"/>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5980409"/>
        <c:crosses val="autoZero"/>
        <c:auto val="1"/>
        <c:lblAlgn val="ctr"/>
        <c:lblOffset val="100"/>
        <c:noMultiLvlLbl val="0"/>
      </c:catAx>
      <c:valAx>
        <c:axId val="55980409"/>
        <c:scaling>
          <c:orientation val="minMax"/>
          <c:min val="0"/>
        </c:scaling>
        <c:delete val="0"/>
        <c:axPos val="l"/>
        <c:majorGridlines>
          <c:spPr>
            <a:ln w="9360">
              <a:solidFill>
                <a:srgbClr val="E0E0E0"/>
              </a:solidFill>
              <a:round/>
            </a:ln>
          </c:spPr>
        </c:majorGridlines>
        <c:numFmt formatCode="\$#,##0,\K"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0362662"/>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200" b="1" strike="noStrike" spc="-1">
                <a:solidFill>
                  <a:srgbClr val="000000"/>
                </a:solidFill>
                <a:latin typeface="Arial"/>
              </a:defRPr>
            </a:pPr>
            <a:r>
              <a:rPr lang="en-IN" sz="1200" b="1" strike="noStrike" spc="-1">
                <a:solidFill>
                  <a:srgbClr val="000000"/>
                </a:solidFill>
                <a:latin typeface="Arial"/>
              </a:rPr>
              <a:t>Ending Cash by Scenario vs. Covenant</a:t>
            </a:r>
          </a:p>
        </c:rich>
      </c:tx>
      <c:overlay val="0"/>
      <c:spPr>
        <a:noFill/>
        <a:ln w="0">
          <a:noFill/>
        </a:ln>
      </c:spPr>
    </c:title>
    <c:autoTitleDeleted val="0"/>
    <c:plotArea>
      <c:layout/>
      <c:lineChart>
        <c:grouping val="standard"/>
        <c:varyColors val="0"/>
        <c:ser>
          <c:idx val="0"/>
          <c:order val="0"/>
          <c:tx>
            <c:strRef>
              <c:f>'Chart Data'!$B$23</c:f>
              <c:strCache>
                <c:ptCount val="1"/>
                <c:pt idx="0">
                  <c:v>Best</c:v>
                </c:pt>
              </c:strCache>
            </c:strRef>
          </c:tx>
          <c:spPr>
            <a:ln w="28440">
              <a:solidFill>
                <a:srgbClr val="548235"/>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Data'!$A$24:$A$37</c:f>
              <c:strCache>
                <c:ptCount val="14"/>
                <c:pt idx="0">
                  <c:v>W4</c:v>
                </c:pt>
                <c:pt idx="1">
                  <c:v>W5</c:v>
                </c:pt>
                <c:pt idx="2">
                  <c:v>W6</c:v>
                </c:pt>
                <c:pt idx="3">
                  <c:v>W7</c:v>
                </c:pt>
                <c:pt idx="4">
                  <c:v>W8</c:v>
                </c:pt>
                <c:pt idx="5">
                  <c:v>W9</c:v>
                </c:pt>
                <c:pt idx="6">
                  <c:v>W10</c:v>
                </c:pt>
                <c:pt idx="7">
                  <c:v>W11</c:v>
                </c:pt>
                <c:pt idx="8">
                  <c:v>W12</c:v>
                </c:pt>
                <c:pt idx="9">
                  <c:v>W13</c:v>
                </c:pt>
                <c:pt idx="10">
                  <c:v>W14</c:v>
                </c:pt>
                <c:pt idx="11">
                  <c:v>W15</c:v>
                </c:pt>
                <c:pt idx="12">
                  <c:v>W16</c:v>
                </c:pt>
                <c:pt idx="13">
                  <c:v>W17</c:v>
                </c:pt>
              </c:strCache>
            </c:strRef>
          </c:cat>
          <c:val>
            <c:numRef>
              <c:f>'Chart Data'!$B$24:$B$37</c:f>
              <c:numCache>
                <c:formatCode>\$#,##0;"($"#,##0\);\-</c:formatCode>
                <c:ptCount val="14"/>
                <c:pt idx="0">
                  <c:v>3267000</c:v>
                </c:pt>
                <c:pt idx="1">
                  <c:v>3604782.6787776407</c:v>
                </c:pt>
                <c:pt idx="2">
                  <c:v>3639124.3240680434</c:v>
                </c:pt>
                <c:pt idx="3">
                  <c:v>3752714.1880785553</c:v>
                </c:pt>
                <c:pt idx="4">
                  <c:v>3795278.9762858301</c:v>
                </c:pt>
                <c:pt idx="5">
                  <c:v>4149503.8735970515</c:v>
                </c:pt>
                <c:pt idx="6">
                  <c:v>4117154.879050225</c:v>
                </c:pt>
                <c:pt idx="7">
                  <c:v>4292691.1439936468</c:v>
                </c:pt>
                <c:pt idx="8">
                  <c:v>4012687.157477261</c:v>
                </c:pt>
                <c:pt idx="9">
                  <c:v>4321771.8503841897</c:v>
                </c:pt>
                <c:pt idx="10">
                  <c:v>4154748.1786760287</c:v>
                </c:pt>
                <c:pt idx="11">
                  <c:v>4404772.2591289915</c:v>
                </c:pt>
                <c:pt idx="12">
                  <c:v>4208243.6951603051</c:v>
                </c:pt>
                <c:pt idx="13">
                  <c:v>4448220.7371947756</c:v>
                </c:pt>
              </c:numCache>
            </c:numRef>
          </c:val>
          <c:smooth val="0"/>
          <c:extLst>
            <c:ext xmlns:c16="http://schemas.microsoft.com/office/drawing/2014/chart" uri="{C3380CC4-5D6E-409C-BE32-E72D297353CC}">
              <c16:uniqueId val="{00000000-52B3-4FB2-B6A0-6CC17F2A5A04}"/>
            </c:ext>
          </c:extLst>
        </c:ser>
        <c:ser>
          <c:idx val="1"/>
          <c:order val="1"/>
          <c:tx>
            <c:strRef>
              <c:f>'Chart Data'!$C$23</c:f>
              <c:strCache>
                <c:ptCount val="1"/>
                <c:pt idx="0">
                  <c:v>Base</c:v>
                </c:pt>
              </c:strCache>
            </c:strRef>
          </c:tx>
          <c:spPr>
            <a:ln w="34920">
              <a:solidFill>
                <a:srgbClr val="1F386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Data'!$A$24:$A$37</c:f>
              <c:strCache>
                <c:ptCount val="14"/>
                <c:pt idx="0">
                  <c:v>W4</c:v>
                </c:pt>
                <c:pt idx="1">
                  <c:v>W5</c:v>
                </c:pt>
                <c:pt idx="2">
                  <c:v>W6</c:v>
                </c:pt>
                <c:pt idx="3">
                  <c:v>W7</c:v>
                </c:pt>
                <c:pt idx="4">
                  <c:v>W8</c:v>
                </c:pt>
                <c:pt idx="5">
                  <c:v>W9</c:v>
                </c:pt>
                <c:pt idx="6">
                  <c:v>W10</c:v>
                </c:pt>
                <c:pt idx="7">
                  <c:v>W11</c:v>
                </c:pt>
                <c:pt idx="8">
                  <c:v>W12</c:v>
                </c:pt>
                <c:pt idx="9">
                  <c:v>W13</c:v>
                </c:pt>
                <c:pt idx="10">
                  <c:v>W14</c:v>
                </c:pt>
                <c:pt idx="11">
                  <c:v>W15</c:v>
                </c:pt>
                <c:pt idx="12">
                  <c:v>W16</c:v>
                </c:pt>
                <c:pt idx="13">
                  <c:v>W17</c:v>
                </c:pt>
              </c:strCache>
            </c:strRef>
          </c:cat>
          <c:val>
            <c:numRef>
              <c:f>'Chart Data'!$C$24:$C$37</c:f>
              <c:numCache>
                <c:formatCode>\$#,##0;"($"#,##0\);\-</c:formatCode>
                <c:ptCount val="14"/>
                <c:pt idx="0">
                  <c:v>3267000</c:v>
                </c:pt>
                <c:pt idx="1">
                  <c:v>3531721.5141869904</c:v>
                </c:pt>
                <c:pt idx="2">
                  <c:v>3482525.8728611004</c:v>
                </c:pt>
                <c:pt idx="3">
                  <c:v>3513972.4537552232</c:v>
                </c:pt>
                <c:pt idx="4">
                  <c:v>3471299.5323485453</c:v>
                </c:pt>
                <c:pt idx="5">
                  <c:v>3749326.4791802992</c:v>
                </c:pt>
                <c:pt idx="6">
                  <c:v>3628213.0892061563</c:v>
                </c:pt>
                <c:pt idx="7">
                  <c:v>3722143.3227477511</c:v>
                </c:pt>
                <c:pt idx="8">
                  <c:v>3348934.3965466479</c:v>
                </c:pt>
                <c:pt idx="9">
                  <c:v>3586448.0206453083</c:v>
                </c:pt>
                <c:pt idx="10">
                  <c:v>3337296.2675288431</c:v>
                </c:pt>
                <c:pt idx="11">
                  <c:v>3523967.7466717772</c:v>
                </c:pt>
                <c:pt idx="12">
                  <c:v>3257387.6595219369</c:v>
                </c:pt>
                <c:pt idx="13">
                  <c:v>3440602.9001433006</c:v>
                </c:pt>
              </c:numCache>
            </c:numRef>
          </c:val>
          <c:smooth val="0"/>
          <c:extLst>
            <c:ext xmlns:c16="http://schemas.microsoft.com/office/drawing/2014/chart" uri="{C3380CC4-5D6E-409C-BE32-E72D297353CC}">
              <c16:uniqueId val="{00000001-52B3-4FB2-B6A0-6CC17F2A5A04}"/>
            </c:ext>
          </c:extLst>
        </c:ser>
        <c:ser>
          <c:idx val="2"/>
          <c:order val="2"/>
          <c:tx>
            <c:strRef>
              <c:f>'Chart Data'!$D$23</c:f>
              <c:strCache>
                <c:ptCount val="1"/>
                <c:pt idx="0">
                  <c:v>Worst</c:v>
                </c:pt>
              </c:strCache>
            </c:strRef>
          </c:tx>
          <c:spPr>
            <a:ln w="28440">
              <a:solidFill>
                <a:srgbClr val="BF8F0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Data'!$A$24:$A$37</c:f>
              <c:strCache>
                <c:ptCount val="14"/>
                <c:pt idx="0">
                  <c:v>W4</c:v>
                </c:pt>
                <c:pt idx="1">
                  <c:v>W5</c:v>
                </c:pt>
                <c:pt idx="2">
                  <c:v>W6</c:v>
                </c:pt>
                <c:pt idx="3">
                  <c:v>W7</c:v>
                </c:pt>
                <c:pt idx="4">
                  <c:v>W8</c:v>
                </c:pt>
                <c:pt idx="5">
                  <c:v>W9</c:v>
                </c:pt>
                <c:pt idx="6">
                  <c:v>W10</c:v>
                </c:pt>
                <c:pt idx="7">
                  <c:v>W11</c:v>
                </c:pt>
                <c:pt idx="8">
                  <c:v>W12</c:v>
                </c:pt>
                <c:pt idx="9">
                  <c:v>W13</c:v>
                </c:pt>
                <c:pt idx="10">
                  <c:v>W14</c:v>
                </c:pt>
                <c:pt idx="11">
                  <c:v>W15</c:v>
                </c:pt>
                <c:pt idx="12">
                  <c:v>W16</c:v>
                </c:pt>
                <c:pt idx="13">
                  <c:v>W17</c:v>
                </c:pt>
              </c:strCache>
            </c:strRef>
          </c:cat>
          <c:val>
            <c:numRef>
              <c:f>'Chart Data'!$D$24:$D$37</c:f>
              <c:numCache>
                <c:formatCode>\$#,##0;"($"#,##0\);\-</c:formatCode>
                <c:ptCount val="14"/>
                <c:pt idx="0">
                  <c:v>3267000</c:v>
                </c:pt>
                <c:pt idx="1">
                  <c:v>3420806.1597300805</c:v>
                </c:pt>
                <c:pt idx="2">
                  <c:v>3246550.5666863816</c:v>
                </c:pt>
                <c:pt idx="3">
                  <c:v>3154624.9900014508</c:v>
                </c:pt>
                <c:pt idx="4">
                  <c:v>2984308.8687808765</c:v>
                </c:pt>
                <c:pt idx="5">
                  <c:v>3146648.75515927</c:v>
                </c:pt>
                <c:pt idx="6">
                  <c:v>2892994.3389940243</c:v>
                </c:pt>
                <c:pt idx="7">
                  <c:v>2864045.8742651716</c:v>
                </c:pt>
                <c:pt idx="8">
                  <c:v>2352895.5831679972</c:v>
                </c:pt>
                <c:pt idx="9">
                  <c:v>2481865.0359337619</c:v>
                </c:pt>
                <c:pt idx="10">
                  <c:v>2110766.9194704224</c:v>
                </c:pt>
                <c:pt idx="11">
                  <c:v>2201476.1392525998</c:v>
                </c:pt>
                <c:pt idx="12">
                  <c:v>1831151.6677667778</c:v>
                </c:pt>
                <c:pt idx="13">
                  <c:v>1928308.1300653755</c:v>
                </c:pt>
              </c:numCache>
            </c:numRef>
          </c:val>
          <c:smooth val="0"/>
          <c:extLst>
            <c:ext xmlns:c16="http://schemas.microsoft.com/office/drawing/2014/chart" uri="{C3380CC4-5D6E-409C-BE32-E72D297353CC}">
              <c16:uniqueId val="{00000002-52B3-4FB2-B6A0-6CC17F2A5A04}"/>
            </c:ext>
          </c:extLst>
        </c:ser>
        <c:ser>
          <c:idx val="3"/>
          <c:order val="3"/>
          <c:tx>
            <c:strRef>
              <c:f>'Chart Data'!$E$23</c:f>
              <c:strCache>
                <c:ptCount val="1"/>
                <c:pt idx="0">
                  <c:v>Min Covenant</c:v>
                </c:pt>
              </c:strCache>
            </c:strRef>
          </c:tx>
          <c:spPr>
            <a:ln w="22320">
              <a:solidFill>
                <a:srgbClr val="C00000"/>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Data'!$A$24:$A$37</c:f>
              <c:strCache>
                <c:ptCount val="14"/>
                <c:pt idx="0">
                  <c:v>W4</c:v>
                </c:pt>
                <c:pt idx="1">
                  <c:v>W5</c:v>
                </c:pt>
                <c:pt idx="2">
                  <c:v>W6</c:v>
                </c:pt>
                <c:pt idx="3">
                  <c:v>W7</c:v>
                </c:pt>
                <c:pt idx="4">
                  <c:v>W8</c:v>
                </c:pt>
                <c:pt idx="5">
                  <c:v>W9</c:v>
                </c:pt>
                <c:pt idx="6">
                  <c:v>W10</c:v>
                </c:pt>
                <c:pt idx="7">
                  <c:v>W11</c:v>
                </c:pt>
                <c:pt idx="8">
                  <c:v>W12</c:v>
                </c:pt>
                <c:pt idx="9">
                  <c:v>W13</c:v>
                </c:pt>
                <c:pt idx="10">
                  <c:v>W14</c:v>
                </c:pt>
                <c:pt idx="11">
                  <c:v>W15</c:v>
                </c:pt>
                <c:pt idx="12">
                  <c:v>W16</c:v>
                </c:pt>
                <c:pt idx="13">
                  <c:v>W17</c:v>
                </c:pt>
              </c:strCache>
            </c:strRef>
          </c:cat>
          <c:val>
            <c:numRef>
              <c:f>'Chart Data'!$E$24:$E$37</c:f>
              <c:numCache>
                <c:formatCode>\$#,##0;"($"#,##0\);\-</c:formatCode>
                <c:ptCount val="14"/>
                <c:pt idx="0">
                  <c:v>1200000</c:v>
                </c:pt>
                <c:pt idx="1">
                  <c:v>1200000</c:v>
                </c:pt>
                <c:pt idx="2">
                  <c:v>1200000</c:v>
                </c:pt>
                <c:pt idx="3">
                  <c:v>1200000</c:v>
                </c:pt>
                <c:pt idx="4">
                  <c:v>1200000</c:v>
                </c:pt>
                <c:pt idx="5">
                  <c:v>1200000</c:v>
                </c:pt>
                <c:pt idx="6">
                  <c:v>1200000</c:v>
                </c:pt>
                <c:pt idx="7">
                  <c:v>1200000</c:v>
                </c:pt>
                <c:pt idx="8">
                  <c:v>1200000</c:v>
                </c:pt>
                <c:pt idx="9">
                  <c:v>1200000</c:v>
                </c:pt>
                <c:pt idx="10">
                  <c:v>1200000</c:v>
                </c:pt>
                <c:pt idx="11">
                  <c:v>1200000</c:v>
                </c:pt>
                <c:pt idx="12">
                  <c:v>1200000</c:v>
                </c:pt>
                <c:pt idx="13">
                  <c:v>1200000</c:v>
                </c:pt>
              </c:numCache>
            </c:numRef>
          </c:val>
          <c:smooth val="0"/>
          <c:extLst>
            <c:ext xmlns:c16="http://schemas.microsoft.com/office/drawing/2014/chart" uri="{C3380CC4-5D6E-409C-BE32-E72D297353CC}">
              <c16:uniqueId val="{00000003-52B3-4FB2-B6A0-6CC17F2A5A04}"/>
            </c:ext>
          </c:extLst>
        </c:ser>
        <c:dLbls>
          <c:showLegendKey val="0"/>
          <c:showVal val="0"/>
          <c:showCatName val="0"/>
          <c:showSerName val="0"/>
          <c:showPercent val="0"/>
          <c:showBubbleSize val="0"/>
        </c:dLbls>
        <c:hiLowLines>
          <c:spPr>
            <a:ln w="0">
              <a:noFill/>
            </a:ln>
          </c:spPr>
        </c:hiLowLines>
        <c:smooth val="0"/>
        <c:axId val="30982806"/>
        <c:axId val="56304670"/>
      </c:lineChart>
      <c:catAx>
        <c:axId val="30982806"/>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6304670"/>
        <c:crosses val="autoZero"/>
        <c:auto val="1"/>
        <c:lblAlgn val="ctr"/>
        <c:lblOffset val="100"/>
        <c:noMultiLvlLbl val="0"/>
      </c:catAx>
      <c:valAx>
        <c:axId val="56304670"/>
        <c:scaling>
          <c:orientation val="minMax"/>
          <c:min val="0"/>
        </c:scaling>
        <c:delete val="0"/>
        <c:axPos val="l"/>
        <c:majorGridlines>
          <c:spPr>
            <a:ln w="9360">
              <a:solidFill>
                <a:srgbClr val="E0E0E0"/>
              </a:solidFill>
              <a:round/>
            </a:ln>
          </c:spPr>
        </c:majorGridlines>
        <c:numFmt formatCode="\$#,##0,\K"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098280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200" b="1" strike="noStrike" spc="-1">
                <a:solidFill>
                  <a:srgbClr val="000000"/>
                </a:solidFill>
                <a:latin typeface="Arial"/>
              </a:defRPr>
            </a:pPr>
            <a:r>
              <a:rPr lang="en-IN" sz="1200" b="1" strike="noStrike" spc="-1">
                <a:solidFill>
                  <a:srgbClr val="000000"/>
                </a:solidFill>
                <a:latin typeface="Arial"/>
              </a:rPr>
              <a:t>Weekly Receipts vs. Disbursements and Net Cash Flow</a:t>
            </a:r>
          </a:p>
        </c:rich>
      </c:tx>
      <c:overlay val="0"/>
      <c:spPr>
        <a:noFill/>
        <a:ln w="0">
          <a:noFill/>
        </a:ln>
      </c:spPr>
    </c:title>
    <c:autoTitleDeleted val="0"/>
    <c:plotArea>
      <c:layout/>
      <c:barChart>
        <c:barDir val="col"/>
        <c:grouping val="clustered"/>
        <c:varyColors val="0"/>
        <c:ser>
          <c:idx val="0"/>
          <c:order val="0"/>
          <c:tx>
            <c:strRef>
              <c:f>'Chart Data'!$F$3</c:f>
              <c:strCache>
                <c:ptCount val="1"/>
                <c:pt idx="0">
                  <c:v>Receipts</c:v>
                </c:pt>
              </c:strCache>
            </c:strRef>
          </c:tx>
          <c:spPr>
            <a:solidFill>
              <a:srgbClr val="2E75B6"/>
            </a:solidFill>
            <a:ln w="0">
              <a:solidFill>
                <a:srgbClr val="2E75B6"/>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Data'!$A$4:$A$20</c:f>
              <c:strCache>
                <c:ptCount val="17"/>
                <c:pt idx="0">
                  <c:v>W1</c:v>
                </c:pt>
                <c:pt idx="1">
                  <c:v>W2</c:v>
                </c:pt>
                <c:pt idx="2">
                  <c:v>W3</c:v>
                </c:pt>
                <c:pt idx="3">
                  <c:v>W4</c:v>
                </c:pt>
                <c:pt idx="4">
                  <c:v>W5</c:v>
                </c:pt>
                <c:pt idx="5">
                  <c:v>W6</c:v>
                </c:pt>
                <c:pt idx="6">
                  <c:v>W7</c:v>
                </c:pt>
                <c:pt idx="7">
                  <c:v>W8</c:v>
                </c:pt>
                <c:pt idx="8">
                  <c:v>W9</c:v>
                </c:pt>
                <c:pt idx="9">
                  <c:v>W10</c:v>
                </c:pt>
                <c:pt idx="10">
                  <c:v>W11</c:v>
                </c:pt>
                <c:pt idx="11">
                  <c:v>W12</c:v>
                </c:pt>
                <c:pt idx="12">
                  <c:v>W13</c:v>
                </c:pt>
                <c:pt idx="13">
                  <c:v>W14</c:v>
                </c:pt>
                <c:pt idx="14">
                  <c:v>W15</c:v>
                </c:pt>
                <c:pt idx="15">
                  <c:v>W16</c:v>
                </c:pt>
                <c:pt idx="16">
                  <c:v>W17</c:v>
                </c:pt>
              </c:strCache>
            </c:strRef>
          </c:cat>
          <c:val>
            <c:numRef>
              <c:f>'Chart Data'!$F$4:$F$20</c:f>
              <c:numCache>
                <c:formatCode>\$#,##0;"($"#,##0\);\-</c:formatCode>
                <c:ptCount val="17"/>
                <c:pt idx="0">
                  <c:v>913000</c:v>
                </c:pt>
                <c:pt idx="1">
                  <c:v>943000</c:v>
                </c:pt>
                <c:pt idx="2">
                  <c:v>1150000</c:v>
                </c:pt>
                <c:pt idx="3">
                  <c:v>976000</c:v>
                </c:pt>
                <c:pt idx="4">
                  <c:v>1012535.12520325</c:v>
                </c:pt>
                <c:pt idx="5">
                  <c:v>1025767.7172064456</c:v>
                </c:pt>
                <c:pt idx="6">
                  <c:v>1038583.506790154</c:v>
                </c:pt>
                <c:pt idx="7">
                  <c:v>1049469.0246469073</c:v>
                </c:pt>
                <c:pt idx="8">
                  <c:v>1056734.486055254</c:v>
                </c:pt>
                <c:pt idx="9">
                  <c:v>1064137.4216011444</c:v>
                </c:pt>
                <c:pt idx="10">
                  <c:v>1055299.2301009316</c:v>
                </c:pt>
                <c:pt idx="11">
                  <c:v>1025108.3987335565</c:v>
                </c:pt>
                <c:pt idx="12">
                  <c:v>983705.96914035291</c:v>
                </c:pt>
                <c:pt idx="13">
                  <c:v>933169.11018512922</c:v>
                </c:pt>
                <c:pt idx="14">
                  <c:v>861909.32105395268</c:v>
                </c:pt>
                <c:pt idx="15">
                  <c:v>775676.50708323251</c:v>
                </c:pt>
                <c:pt idx="16">
                  <c:v>778228.23289683869</c:v>
                </c:pt>
              </c:numCache>
            </c:numRef>
          </c:val>
          <c:extLst>
            <c:ext xmlns:c16="http://schemas.microsoft.com/office/drawing/2014/chart" uri="{C3380CC4-5D6E-409C-BE32-E72D297353CC}">
              <c16:uniqueId val="{00000000-74C5-4016-B01B-E4183D0C7CCA}"/>
            </c:ext>
          </c:extLst>
        </c:ser>
        <c:ser>
          <c:idx val="1"/>
          <c:order val="1"/>
          <c:tx>
            <c:strRef>
              <c:f>'Chart Data'!$G$3</c:f>
              <c:strCache>
                <c:ptCount val="1"/>
                <c:pt idx="0">
                  <c:v>Disbursements</c:v>
                </c:pt>
              </c:strCache>
            </c:strRef>
          </c:tx>
          <c:spPr>
            <a:solidFill>
              <a:srgbClr val="7F7F7F"/>
            </a:solidFill>
            <a:ln w="0">
              <a:solidFill>
                <a:srgbClr val="7F7F7F"/>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Data'!$A$4:$A$20</c:f>
              <c:strCache>
                <c:ptCount val="17"/>
                <c:pt idx="0">
                  <c:v>W1</c:v>
                </c:pt>
                <c:pt idx="1">
                  <c:v>W2</c:v>
                </c:pt>
                <c:pt idx="2">
                  <c:v>W3</c:v>
                </c:pt>
                <c:pt idx="3">
                  <c:v>W4</c:v>
                </c:pt>
                <c:pt idx="4">
                  <c:v>W5</c:v>
                </c:pt>
                <c:pt idx="5">
                  <c:v>W6</c:v>
                </c:pt>
                <c:pt idx="6">
                  <c:v>W7</c:v>
                </c:pt>
                <c:pt idx="7">
                  <c:v>W8</c:v>
                </c:pt>
                <c:pt idx="8">
                  <c:v>W9</c:v>
                </c:pt>
                <c:pt idx="9">
                  <c:v>W10</c:v>
                </c:pt>
                <c:pt idx="10">
                  <c:v>W11</c:v>
                </c:pt>
                <c:pt idx="11">
                  <c:v>W12</c:v>
                </c:pt>
                <c:pt idx="12">
                  <c:v>W13</c:v>
                </c:pt>
                <c:pt idx="13">
                  <c:v>W14</c:v>
                </c:pt>
                <c:pt idx="14">
                  <c:v>W15</c:v>
                </c:pt>
                <c:pt idx="15">
                  <c:v>W16</c:v>
                </c:pt>
                <c:pt idx="16">
                  <c:v>W17</c:v>
                </c:pt>
              </c:strCache>
            </c:strRef>
          </c:cat>
          <c:val>
            <c:numRef>
              <c:f>'Chart Data'!$G$4:$G$20</c:f>
              <c:numCache>
                <c:formatCode>\$#,##0;"($"#,##0\);\-</c:formatCode>
                <c:ptCount val="17"/>
                <c:pt idx="0">
                  <c:v>694000</c:v>
                </c:pt>
                <c:pt idx="1">
                  <c:v>1035000</c:v>
                </c:pt>
                <c:pt idx="2">
                  <c:v>755000</c:v>
                </c:pt>
                <c:pt idx="3">
                  <c:v>1081000</c:v>
                </c:pt>
                <c:pt idx="4">
                  <c:v>747813.61101625941</c:v>
                </c:pt>
                <c:pt idx="5">
                  <c:v>1074963.3585323356</c:v>
                </c:pt>
                <c:pt idx="6">
                  <c:v>1007136.9258960311</c:v>
                </c:pt>
                <c:pt idx="7">
                  <c:v>1092141.9460535855</c:v>
                </c:pt>
                <c:pt idx="8">
                  <c:v>778707.53922350018</c:v>
                </c:pt>
                <c:pt idx="9">
                  <c:v>1185250.811575287</c:v>
                </c:pt>
                <c:pt idx="10">
                  <c:v>961368.99655933655</c:v>
                </c:pt>
                <c:pt idx="11">
                  <c:v>1398317.32493466</c:v>
                </c:pt>
                <c:pt idx="12">
                  <c:v>746192.34504169226</c:v>
                </c:pt>
                <c:pt idx="13">
                  <c:v>1182320.8633015943</c:v>
                </c:pt>
                <c:pt idx="14">
                  <c:v>675237.84191101836</c:v>
                </c:pt>
                <c:pt idx="15">
                  <c:v>1042256.5942330728</c:v>
                </c:pt>
                <c:pt idx="16">
                  <c:v>595012.99227547483</c:v>
                </c:pt>
              </c:numCache>
            </c:numRef>
          </c:val>
          <c:extLst>
            <c:ext xmlns:c16="http://schemas.microsoft.com/office/drawing/2014/chart" uri="{C3380CC4-5D6E-409C-BE32-E72D297353CC}">
              <c16:uniqueId val="{00000001-74C5-4016-B01B-E4183D0C7CCA}"/>
            </c:ext>
          </c:extLst>
        </c:ser>
        <c:dLbls>
          <c:showLegendKey val="0"/>
          <c:showVal val="0"/>
          <c:showCatName val="0"/>
          <c:showSerName val="0"/>
          <c:showPercent val="0"/>
          <c:showBubbleSize val="0"/>
        </c:dLbls>
        <c:gapWidth val="60"/>
        <c:axId val="64404373"/>
        <c:axId val="52346914"/>
      </c:barChart>
      <c:lineChart>
        <c:grouping val="standard"/>
        <c:varyColors val="0"/>
        <c:ser>
          <c:idx val="2"/>
          <c:order val="2"/>
          <c:tx>
            <c:strRef>
              <c:f>'Chart Data'!$H$3</c:f>
              <c:strCache>
                <c:ptCount val="1"/>
                <c:pt idx="0">
                  <c:v>Net Cash Flow</c:v>
                </c:pt>
              </c:strCache>
            </c:strRef>
          </c:tx>
          <c:spPr>
            <a:ln w="28440">
              <a:solidFill>
                <a:srgbClr val="C00000"/>
              </a:solidFill>
              <a:round/>
            </a:ln>
          </c:spPr>
          <c:marker>
            <c:symbol val="circle"/>
            <c:size val="5"/>
            <c:spPr>
              <a:solidFill>
                <a:srgbClr val="C00000"/>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Data'!$A$4:$A$20</c:f>
              <c:strCache>
                <c:ptCount val="17"/>
                <c:pt idx="0">
                  <c:v>W1</c:v>
                </c:pt>
                <c:pt idx="1">
                  <c:v>W2</c:v>
                </c:pt>
                <c:pt idx="2">
                  <c:v>W3</c:v>
                </c:pt>
                <c:pt idx="3">
                  <c:v>W4</c:v>
                </c:pt>
                <c:pt idx="4">
                  <c:v>W5</c:v>
                </c:pt>
                <c:pt idx="5">
                  <c:v>W6</c:v>
                </c:pt>
                <c:pt idx="6">
                  <c:v>W7</c:v>
                </c:pt>
                <c:pt idx="7">
                  <c:v>W8</c:v>
                </c:pt>
                <c:pt idx="8">
                  <c:v>W9</c:v>
                </c:pt>
                <c:pt idx="9">
                  <c:v>W10</c:v>
                </c:pt>
                <c:pt idx="10">
                  <c:v>W11</c:v>
                </c:pt>
                <c:pt idx="11">
                  <c:v>W12</c:v>
                </c:pt>
                <c:pt idx="12">
                  <c:v>W13</c:v>
                </c:pt>
                <c:pt idx="13">
                  <c:v>W14</c:v>
                </c:pt>
                <c:pt idx="14">
                  <c:v>W15</c:v>
                </c:pt>
                <c:pt idx="15">
                  <c:v>W16</c:v>
                </c:pt>
                <c:pt idx="16">
                  <c:v>W17</c:v>
                </c:pt>
              </c:strCache>
            </c:strRef>
          </c:cat>
          <c:val>
            <c:numRef>
              <c:f>'Chart Data'!$H$4:$H$20</c:f>
              <c:numCache>
                <c:formatCode>\$#,##0;"($"#,##0\);\-</c:formatCode>
                <c:ptCount val="17"/>
                <c:pt idx="0">
                  <c:v>219000</c:v>
                </c:pt>
                <c:pt idx="1">
                  <c:v>-92000</c:v>
                </c:pt>
                <c:pt idx="2">
                  <c:v>395000</c:v>
                </c:pt>
                <c:pt idx="3">
                  <c:v>-105000</c:v>
                </c:pt>
                <c:pt idx="4">
                  <c:v>264721.51418699056</c:v>
                </c:pt>
                <c:pt idx="5">
                  <c:v>-49195.64132588997</c:v>
                </c:pt>
                <c:pt idx="6">
                  <c:v>31446.580894122948</c:v>
                </c:pt>
                <c:pt idx="7">
                  <c:v>-42672.921406678157</c:v>
                </c:pt>
                <c:pt idx="8">
                  <c:v>278026.94683175383</c:v>
                </c:pt>
                <c:pt idx="9">
                  <c:v>-121113.38997414266</c:v>
                </c:pt>
                <c:pt idx="10">
                  <c:v>93930.233541595051</c:v>
                </c:pt>
                <c:pt idx="11">
                  <c:v>-373208.92620110349</c:v>
                </c:pt>
                <c:pt idx="12">
                  <c:v>237513.62409866066</c:v>
                </c:pt>
                <c:pt idx="13">
                  <c:v>-249151.75311646506</c:v>
                </c:pt>
                <c:pt idx="14">
                  <c:v>186671.47914293432</c:v>
                </c:pt>
                <c:pt idx="15">
                  <c:v>-266580.08714984031</c:v>
                </c:pt>
                <c:pt idx="16">
                  <c:v>183215.24062136386</c:v>
                </c:pt>
              </c:numCache>
            </c:numRef>
          </c:val>
          <c:smooth val="0"/>
          <c:extLst>
            <c:ext xmlns:c16="http://schemas.microsoft.com/office/drawing/2014/chart" uri="{C3380CC4-5D6E-409C-BE32-E72D297353CC}">
              <c16:uniqueId val="{00000002-74C5-4016-B01B-E4183D0C7CCA}"/>
            </c:ext>
          </c:extLst>
        </c:ser>
        <c:dLbls>
          <c:showLegendKey val="0"/>
          <c:showVal val="0"/>
          <c:showCatName val="0"/>
          <c:showSerName val="0"/>
          <c:showPercent val="0"/>
          <c:showBubbleSize val="0"/>
        </c:dLbls>
        <c:hiLowLines>
          <c:spPr>
            <a:ln w="0">
              <a:noFill/>
            </a:ln>
          </c:spPr>
        </c:hiLowLines>
        <c:marker val="1"/>
        <c:smooth val="0"/>
        <c:axId val="64404373"/>
        <c:axId val="52346914"/>
      </c:lineChart>
      <c:catAx>
        <c:axId val="64404373"/>
        <c:scaling>
          <c:orientation val="minMax"/>
        </c:scaling>
        <c:delete val="0"/>
        <c:axPos val="b"/>
        <c:numFmt formatCode="General" sourceLinked="1"/>
        <c:majorTickMark val="none"/>
        <c:minorTickMark val="none"/>
        <c:tickLblPos val="low"/>
        <c:spPr>
          <a:ln w="0">
            <a:solidFill>
              <a:srgbClr val="B3B3B3"/>
            </a:solidFill>
          </a:ln>
        </c:spPr>
        <c:txPr>
          <a:bodyPr/>
          <a:lstStyle/>
          <a:p>
            <a:pPr>
              <a:defRPr sz="1000" b="0" strike="noStrike" spc="-1">
                <a:solidFill>
                  <a:srgbClr val="000000"/>
                </a:solidFill>
                <a:latin typeface="Calibri"/>
              </a:defRPr>
            </a:pPr>
            <a:endParaRPr lang="en-US"/>
          </a:p>
        </c:txPr>
        <c:crossAx val="52346914"/>
        <c:crosses val="autoZero"/>
        <c:auto val="1"/>
        <c:lblAlgn val="ctr"/>
        <c:lblOffset val="100"/>
        <c:noMultiLvlLbl val="0"/>
      </c:catAx>
      <c:valAx>
        <c:axId val="52346914"/>
        <c:scaling>
          <c:orientation val="minMax"/>
        </c:scaling>
        <c:delete val="0"/>
        <c:axPos val="l"/>
        <c:majorGridlines>
          <c:spPr>
            <a:ln w="9360">
              <a:solidFill>
                <a:srgbClr val="E0E0E0"/>
              </a:solidFill>
              <a:round/>
            </a:ln>
          </c:spPr>
        </c:majorGridlines>
        <c:numFmt formatCode="\$#,##0,\K"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4404373"/>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200" b="1" strike="noStrike" spc="-1">
                <a:solidFill>
                  <a:srgbClr val="000000"/>
                </a:solidFill>
                <a:latin typeface="Arial"/>
              </a:defRPr>
            </a:pPr>
            <a:r>
              <a:rPr lang="en-IN" sz="1200" b="1" strike="noStrike" spc="-1">
                <a:solidFill>
                  <a:srgbClr val="000000"/>
                </a:solidFill>
                <a:latin typeface="Arial"/>
              </a:rPr>
              <a:t>Forecast Disbursements by Category (Wk 5</a:t>
            </a:r>
            <a:r>
              <a:rPr lang="en-IN" sz="1200" b="1" strike="noStrike" spc="-1" baseline="0">
                <a:solidFill>
                  <a:srgbClr val="000000"/>
                </a:solidFill>
                <a:latin typeface="Arial"/>
              </a:rPr>
              <a:t> - </a:t>
            </a:r>
            <a:r>
              <a:rPr lang="en-IN" sz="1200" b="1" strike="noStrike" spc="-1">
                <a:solidFill>
                  <a:srgbClr val="000000"/>
                </a:solidFill>
                <a:latin typeface="Arial"/>
              </a:rPr>
              <a:t>17)</a:t>
            </a:r>
          </a:p>
        </c:rich>
      </c:tx>
      <c:overlay val="0"/>
      <c:spPr>
        <a:noFill/>
        <a:ln w="0">
          <a:noFill/>
        </a:ln>
      </c:spPr>
    </c:title>
    <c:autoTitleDeleted val="0"/>
    <c:plotArea>
      <c:layout/>
      <c:barChart>
        <c:barDir val="col"/>
        <c:grouping val="stacked"/>
        <c:varyColors val="0"/>
        <c:ser>
          <c:idx val="0"/>
          <c:order val="0"/>
          <c:tx>
            <c:strRef>
              <c:f>'Chart Data'!$B$39</c:f>
              <c:strCache>
                <c:ptCount val="1"/>
                <c:pt idx="0">
                  <c:v>AP Payments</c:v>
                </c:pt>
              </c:strCache>
            </c:strRef>
          </c:tx>
          <c:spPr>
            <a:solidFill>
              <a:srgbClr val="1F3864"/>
            </a:solidFill>
            <a:ln w="0">
              <a:solidFill>
                <a:srgbClr val="1F3864"/>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Data'!$A$40:$A$52</c:f>
              <c:strCache>
                <c:ptCount val="13"/>
                <c:pt idx="0">
                  <c:v>W5</c:v>
                </c:pt>
                <c:pt idx="1">
                  <c:v>W6</c:v>
                </c:pt>
                <c:pt idx="2">
                  <c:v>W7</c:v>
                </c:pt>
                <c:pt idx="3">
                  <c:v>W8</c:v>
                </c:pt>
                <c:pt idx="4">
                  <c:v>W9</c:v>
                </c:pt>
                <c:pt idx="5">
                  <c:v>W10</c:v>
                </c:pt>
                <c:pt idx="6">
                  <c:v>W11</c:v>
                </c:pt>
                <c:pt idx="7">
                  <c:v>W12</c:v>
                </c:pt>
                <c:pt idx="8">
                  <c:v>W13</c:v>
                </c:pt>
                <c:pt idx="9">
                  <c:v>W14</c:v>
                </c:pt>
                <c:pt idx="10">
                  <c:v>W15</c:v>
                </c:pt>
                <c:pt idx="11">
                  <c:v>W16</c:v>
                </c:pt>
                <c:pt idx="12">
                  <c:v>W17</c:v>
                </c:pt>
              </c:strCache>
            </c:strRef>
          </c:cat>
          <c:val>
            <c:numRef>
              <c:f>'Chart Data'!$B$40:$B$52</c:f>
              <c:numCache>
                <c:formatCode>\$#,##0;"($"#,##0\);\-</c:formatCode>
                <c:ptCount val="13"/>
                <c:pt idx="0">
                  <c:v>631813.61101625941</c:v>
                </c:pt>
                <c:pt idx="1">
                  <c:v>640963.35853233561</c:v>
                </c:pt>
                <c:pt idx="2">
                  <c:v>651136.92589603108</c:v>
                </c:pt>
                <c:pt idx="3">
                  <c:v>658141.9460535855</c:v>
                </c:pt>
                <c:pt idx="4">
                  <c:v>662707.53922350018</c:v>
                </c:pt>
                <c:pt idx="5">
                  <c:v>666250.81157528702</c:v>
                </c:pt>
                <c:pt idx="6">
                  <c:v>665368.99655933655</c:v>
                </c:pt>
                <c:pt idx="7">
                  <c:v>654317.32493465999</c:v>
                </c:pt>
                <c:pt idx="8">
                  <c:v>630192.34504169226</c:v>
                </c:pt>
                <c:pt idx="9">
                  <c:v>598320.86330159428</c:v>
                </c:pt>
                <c:pt idx="10">
                  <c:v>559237.84191101836</c:v>
                </c:pt>
                <c:pt idx="11">
                  <c:v>513256.59423307277</c:v>
                </c:pt>
                <c:pt idx="12">
                  <c:v>479012.99227547488</c:v>
                </c:pt>
              </c:numCache>
            </c:numRef>
          </c:val>
          <c:extLst>
            <c:ext xmlns:c16="http://schemas.microsoft.com/office/drawing/2014/chart" uri="{C3380CC4-5D6E-409C-BE32-E72D297353CC}">
              <c16:uniqueId val="{00000000-FB1E-4C9F-A482-544AD2049C07}"/>
            </c:ext>
          </c:extLst>
        </c:ser>
        <c:ser>
          <c:idx val="1"/>
          <c:order val="1"/>
          <c:tx>
            <c:strRef>
              <c:f>'Chart Data'!$C$39</c:f>
              <c:strCache>
                <c:ptCount val="1"/>
                <c:pt idx="0">
                  <c:v>Payroll</c:v>
                </c:pt>
              </c:strCache>
            </c:strRef>
          </c:tx>
          <c:spPr>
            <a:solidFill>
              <a:srgbClr val="2E75B6"/>
            </a:solidFill>
            <a:ln w="0">
              <a:solidFill>
                <a:srgbClr val="2E75B6"/>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Data'!$A$40:$A$52</c:f>
              <c:strCache>
                <c:ptCount val="13"/>
                <c:pt idx="0">
                  <c:v>W5</c:v>
                </c:pt>
                <c:pt idx="1">
                  <c:v>W6</c:v>
                </c:pt>
                <c:pt idx="2">
                  <c:v>W7</c:v>
                </c:pt>
                <c:pt idx="3">
                  <c:v>W8</c:v>
                </c:pt>
                <c:pt idx="4">
                  <c:v>W9</c:v>
                </c:pt>
                <c:pt idx="5">
                  <c:v>W10</c:v>
                </c:pt>
                <c:pt idx="6">
                  <c:v>W11</c:v>
                </c:pt>
                <c:pt idx="7">
                  <c:v>W12</c:v>
                </c:pt>
                <c:pt idx="8">
                  <c:v>W13</c:v>
                </c:pt>
                <c:pt idx="9">
                  <c:v>W14</c:v>
                </c:pt>
                <c:pt idx="10">
                  <c:v>W15</c:v>
                </c:pt>
                <c:pt idx="11">
                  <c:v>W16</c:v>
                </c:pt>
                <c:pt idx="12">
                  <c:v>W17</c:v>
                </c:pt>
              </c:strCache>
            </c:strRef>
          </c:cat>
          <c:val>
            <c:numRef>
              <c:f>'Chart Data'!$C$40:$C$52</c:f>
              <c:numCache>
                <c:formatCode>\$#,##0;"($"#,##0\);\-</c:formatCode>
                <c:ptCount val="13"/>
                <c:pt idx="0">
                  <c:v>0</c:v>
                </c:pt>
                <c:pt idx="1">
                  <c:v>318000</c:v>
                </c:pt>
                <c:pt idx="2">
                  <c:v>0</c:v>
                </c:pt>
                <c:pt idx="3">
                  <c:v>318000</c:v>
                </c:pt>
                <c:pt idx="4">
                  <c:v>0</c:v>
                </c:pt>
                <c:pt idx="5">
                  <c:v>318000</c:v>
                </c:pt>
                <c:pt idx="6">
                  <c:v>0</c:v>
                </c:pt>
                <c:pt idx="7">
                  <c:v>318000</c:v>
                </c:pt>
                <c:pt idx="8">
                  <c:v>0</c:v>
                </c:pt>
                <c:pt idx="9">
                  <c:v>318000</c:v>
                </c:pt>
                <c:pt idx="10">
                  <c:v>0</c:v>
                </c:pt>
                <c:pt idx="11">
                  <c:v>413000</c:v>
                </c:pt>
                <c:pt idx="12">
                  <c:v>0</c:v>
                </c:pt>
              </c:numCache>
            </c:numRef>
          </c:val>
          <c:extLst>
            <c:ext xmlns:c16="http://schemas.microsoft.com/office/drawing/2014/chart" uri="{C3380CC4-5D6E-409C-BE32-E72D297353CC}">
              <c16:uniqueId val="{00000001-FB1E-4C9F-A482-544AD2049C07}"/>
            </c:ext>
          </c:extLst>
        </c:ser>
        <c:ser>
          <c:idx val="2"/>
          <c:order val="2"/>
          <c:tx>
            <c:strRef>
              <c:f>'Chart Data'!$D$39</c:f>
              <c:strCache>
                <c:ptCount val="1"/>
                <c:pt idx="0">
                  <c:v>Opex</c:v>
                </c:pt>
              </c:strCache>
            </c:strRef>
          </c:tx>
          <c:spPr>
            <a:solidFill>
              <a:srgbClr val="9DC3E6"/>
            </a:solidFill>
            <a:ln w="0">
              <a:solidFill>
                <a:srgbClr val="9DC3E6"/>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Data'!$A$40:$A$52</c:f>
              <c:strCache>
                <c:ptCount val="13"/>
                <c:pt idx="0">
                  <c:v>W5</c:v>
                </c:pt>
                <c:pt idx="1">
                  <c:v>W6</c:v>
                </c:pt>
                <c:pt idx="2">
                  <c:v>W7</c:v>
                </c:pt>
                <c:pt idx="3">
                  <c:v>W8</c:v>
                </c:pt>
                <c:pt idx="4">
                  <c:v>W9</c:v>
                </c:pt>
                <c:pt idx="5">
                  <c:v>W10</c:v>
                </c:pt>
                <c:pt idx="6">
                  <c:v>W11</c:v>
                </c:pt>
                <c:pt idx="7">
                  <c:v>W12</c:v>
                </c:pt>
                <c:pt idx="8">
                  <c:v>W13</c:v>
                </c:pt>
                <c:pt idx="9">
                  <c:v>W14</c:v>
                </c:pt>
                <c:pt idx="10">
                  <c:v>W15</c:v>
                </c:pt>
                <c:pt idx="11">
                  <c:v>W16</c:v>
                </c:pt>
                <c:pt idx="12">
                  <c:v>W17</c:v>
                </c:pt>
              </c:strCache>
            </c:strRef>
          </c:cat>
          <c:val>
            <c:numRef>
              <c:f>'Chart Data'!$D$40:$D$52</c:f>
              <c:numCache>
                <c:formatCode>\$#,##0;"($"#,##0\);\-</c:formatCode>
                <c:ptCount val="13"/>
                <c:pt idx="0">
                  <c:v>95000</c:v>
                </c:pt>
                <c:pt idx="1">
                  <c:v>95000</c:v>
                </c:pt>
                <c:pt idx="2">
                  <c:v>95000</c:v>
                </c:pt>
                <c:pt idx="3">
                  <c:v>95000</c:v>
                </c:pt>
                <c:pt idx="4">
                  <c:v>95000</c:v>
                </c:pt>
                <c:pt idx="5">
                  <c:v>95000</c:v>
                </c:pt>
                <c:pt idx="6">
                  <c:v>275000</c:v>
                </c:pt>
                <c:pt idx="7">
                  <c:v>95000</c:v>
                </c:pt>
                <c:pt idx="8">
                  <c:v>95000</c:v>
                </c:pt>
                <c:pt idx="9">
                  <c:v>95000</c:v>
                </c:pt>
                <c:pt idx="10">
                  <c:v>95000</c:v>
                </c:pt>
                <c:pt idx="11">
                  <c:v>95000</c:v>
                </c:pt>
                <c:pt idx="12">
                  <c:v>95000</c:v>
                </c:pt>
              </c:numCache>
            </c:numRef>
          </c:val>
          <c:extLst>
            <c:ext xmlns:c16="http://schemas.microsoft.com/office/drawing/2014/chart" uri="{C3380CC4-5D6E-409C-BE32-E72D297353CC}">
              <c16:uniqueId val="{00000002-FB1E-4C9F-A482-544AD2049C07}"/>
            </c:ext>
          </c:extLst>
        </c:ser>
        <c:ser>
          <c:idx val="3"/>
          <c:order val="3"/>
          <c:tx>
            <c:strRef>
              <c:f>'Chart Data'!$E$39</c:f>
              <c:strCache>
                <c:ptCount val="1"/>
                <c:pt idx="0">
                  <c:v>Capex</c:v>
                </c:pt>
              </c:strCache>
            </c:strRef>
          </c:tx>
          <c:spPr>
            <a:solidFill>
              <a:srgbClr val="BF8F00"/>
            </a:solidFill>
            <a:ln w="0">
              <a:solidFill>
                <a:srgbClr val="BF8F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Data'!$A$40:$A$52</c:f>
              <c:strCache>
                <c:ptCount val="13"/>
                <c:pt idx="0">
                  <c:v>W5</c:v>
                </c:pt>
                <c:pt idx="1">
                  <c:v>W6</c:v>
                </c:pt>
                <c:pt idx="2">
                  <c:v>W7</c:v>
                </c:pt>
                <c:pt idx="3">
                  <c:v>W8</c:v>
                </c:pt>
                <c:pt idx="4">
                  <c:v>W9</c:v>
                </c:pt>
                <c:pt idx="5">
                  <c:v>W10</c:v>
                </c:pt>
                <c:pt idx="6">
                  <c:v>W11</c:v>
                </c:pt>
                <c:pt idx="7">
                  <c:v>W12</c:v>
                </c:pt>
                <c:pt idx="8">
                  <c:v>W13</c:v>
                </c:pt>
                <c:pt idx="9">
                  <c:v>W14</c:v>
                </c:pt>
                <c:pt idx="10">
                  <c:v>W15</c:v>
                </c:pt>
                <c:pt idx="11">
                  <c:v>W16</c:v>
                </c:pt>
                <c:pt idx="12">
                  <c:v>W17</c:v>
                </c:pt>
              </c:strCache>
            </c:strRef>
          </c:cat>
          <c:val>
            <c:numRef>
              <c:f>'Chart Data'!$E$40:$E$52</c:f>
              <c:numCache>
                <c:formatCode>\$#,##0;"($"#,##0\);\-</c:formatCode>
                <c:ptCount val="13"/>
                <c:pt idx="0">
                  <c:v>0</c:v>
                </c:pt>
                <c:pt idx="1">
                  <c:v>0</c:v>
                </c:pt>
                <c:pt idx="2">
                  <c:v>240000</c:v>
                </c:pt>
                <c:pt idx="3">
                  <c:v>0</c:v>
                </c:pt>
                <c:pt idx="4">
                  <c:v>0</c:v>
                </c:pt>
                <c:pt idx="5">
                  <c:v>85000</c:v>
                </c:pt>
                <c:pt idx="6">
                  <c:v>0</c:v>
                </c:pt>
                <c:pt idx="7">
                  <c:v>0</c:v>
                </c:pt>
                <c:pt idx="8">
                  <c:v>0</c:v>
                </c:pt>
                <c:pt idx="9">
                  <c:v>150000</c:v>
                </c:pt>
                <c:pt idx="10">
                  <c:v>0</c:v>
                </c:pt>
                <c:pt idx="11">
                  <c:v>0</c:v>
                </c:pt>
                <c:pt idx="12">
                  <c:v>0</c:v>
                </c:pt>
              </c:numCache>
            </c:numRef>
          </c:val>
          <c:extLst>
            <c:ext xmlns:c16="http://schemas.microsoft.com/office/drawing/2014/chart" uri="{C3380CC4-5D6E-409C-BE32-E72D297353CC}">
              <c16:uniqueId val="{00000003-FB1E-4C9F-A482-544AD2049C07}"/>
            </c:ext>
          </c:extLst>
        </c:ser>
        <c:ser>
          <c:idx val="4"/>
          <c:order val="4"/>
          <c:tx>
            <c:strRef>
              <c:f>'Chart Data'!$F$39</c:f>
              <c:strCache>
                <c:ptCount val="1"/>
                <c:pt idx="0">
                  <c:v>Debt Service</c:v>
                </c:pt>
              </c:strCache>
            </c:strRef>
          </c:tx>
          <c:spPr>
            <a:solidFill>
              <a:srgbClr val="548235"/>
            </a:solidFill>
            <a:ln w="0">
              <a:solidFill>
                <a:srgbClr val="548235"/>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Data'!$A$40:$A$52</c:f>
              <c:strCache>
                <c:ptCount val="13"/>
                <c:pt idx="0">
                  <c:v>W5</c:v>
                </c:pt>
                <c:pt idx="1">
                  <c:v>W6</c:v>
                </c:pt>
                <c:pt idx="2">
                  <c:v>W7</c:v>
                </c:pt>
                <c:pt idx="3">
                  <c:v>W8</c:v>
                </c:pt>
                <c:pt idx="4">
                  <c:v>W9</c:v>
                </c:pt>
                <c:pt idx="5">
                  <c:v>W10</c:v>
                </c:pt>
                <c:pt idx="6">
                  <c:v>W11</c:v>
                </c:pt>
                <c:pt idx="7">
                  <c:v>W12</c:v>
                </c:pt>
                <c:pt idx="8">
                  <c:v>W13</c:v>
                </c:pt>
                <c:pt idx="9">
                  <c:v>W14</c:v>
                </c:pt>
                <c:pt idx="10">
                  <c:v>W15</c:v>
                </c:pt>
                <c:pt idx="11">
                  <c:v>W16</c:v>
                </c:pt>
                <c:pt idx="12">
                  <c:v>W17</c:v>
                </c:pt>
              </c:strCache>
            </c:strRef>
          </c:cat>
          <c:val>
            <c:numRef>
              <c:f>'Chart Data'!$F$40:$F$52</c:f>
              <c:numCache>
                <c:formatCode>\$#,##0;"($"#,##0\);\-</c:formatCode>
                <c:ptCount val="13"/>
                <c:pt idx="0">
                  <c:v>21000</c:v>
                </c:pt>
                <c:pt idx="1">
                  <c:v>21000</c:v>
                </c:pt>
                <c:pt idx="2">
                  <c:v>21000</c:v>
                </c:pt>
                <c:pt idx="3">
                  <c:v>21000</c:v>
                </c:pt>
                <c:pt idx="4">
                  <c:v>21000</c:v>
                </c:pt>
                <c:pt idx="5">
                  <c:v>21000</c:v>
                </c:pt>
                <c:pt idx="6">
                  <c:v>21000</c:v>
                </c:pt>
                <c:pt idx="7">
                  <c:v>21000</c:v>
                </c:pt>
                <c:pt idx="8">
                  <c:v>21000</c:v>
                </c:pt>
                <c:pt idx="9">
                  <c:v>21000</c:v>
                </c:pt>
                <c:pt idx="10">
                  <c:v>21000</c:v>
                </c:pt>
                <c:pt idx="11">
                  <c:v>21000</c:v>
                </c:pt>
                <c:pt idx="12">
                  <c:v>21000</c:v>
                </c:pt>
              </c:numCache>
            </c:numRef>
          </c:val>
          <c:extLst>
            <c:ext xmlns:c16="http://schemas.microsoft.com/office/drawing/2014/chart" uri="{C3380CC4-5D6E-409C-BE32-E72D297353CC}">
              <c16:uniqueId val="{00000004-FB1E-4C9F-A482-544AD2049C07}"/>
            </c:ext>
          </c:extLst>
        </c:ser>
        <c:ser>
          <c:idx val="5"/>
          <c:order val="5"/>
          <c:tx>
            <c:strRef>
              <c:f>'Chart Data'!$G$39</c:f>
              <c:strCache>
                <c:ptCount val="1"/>
                <c:pt idx="0">
                  <c:v>Taxes</c:v>
                </c:pt>
              </c:strCache>
            </c:strRef>
          </c:tx>
          <c:spPr>
            <a:solidFill>
              <a:srgbClr val="C00000"/>
            </a:solidFill>
            <a:ln w="0">
              <a:solidFill>
                <a:srgbClr val="C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Data'!$A$40:$A$52</c:f>
              <c:strCache>
                <c:ptCount val="13"/>
                <c:pt idx="0">
                  <c:v>W5</c:v>
                </c:pt>
                <c:pt idx="1">
                  <c:v>W6</c:v>
                </c:pt>
                <c:pt idx="2">
                  <c:v>W7</c:v>
                </c:pt>
                <c:pt idx="3">
                  <c:v>W8</c:v>
                </c:pt>
                <c:pt idx="4">
                  <c:v>W9</c:v>
                </c:pt>
                <c:pt idx="5">
                  <c:v>W10</c:v>
                </c:pt>
                <c:pt idx="6">
                  <c:v>W11</c:v>
                </c:pt>
                <c:pt idx="7">
                  <c:v>W12</c:v>
                </c:pt>
                <c:pt idx="8">
                  <c:v>W13</c:v>
                </c:pt>
                <c:pt idx="9">
                  <c:v>W14</c:v>
                </c:pt>
                <c:pt idx="10">
                  <c:v>W15</c:v>
                </c:pt>
                <c:pt idx="11">
                  <c:v>W16</c:v>
                </c:pt>
                <c:pt idx="12">
                  <c:v>W17</c:v>
                </c:pt>
              </c:strCache>
            </c:strRef>
          </c:cat>
          <c:val>
            <c:numRef>
              <c:f>'Chart Data'!$G$40:$G$52</c:f>
              <c:numCache>
                <c:formatCode>\$#,##0;"($"#,##0\);\-</c:formatCode>
                <c:ptCount val="13"/>
                <c:pt idx="0">
                  <c:v>0</c:v>
                </c:pt>
                <c:pt idx="1">
                  <c:v>0</c:v>
                </c:pt>
                <c:pt idx="2">
                  <c:v>0</c:v>
                </c:pt>
                <c:pt idx="3">
                  <c:v>0</c:v>
                </c:pt>
                <c:pt idx="4">
                  <c:v>0</c:v>
                </c:pt>
                <c:pt idx="5">
                  <c:v>0</c:v>
                </c:pt>
                <c:pt idx="6">
                  <c:v>0</c:v>
                </c:pt>
                <c:pt idx="7">
                  <c:v>310000</c:v>
                </c:pt>
                <c:pt idx="8">
                  <c:v>0</c:v>
                </c:pt>
                <c:pt idx="9">
                  <c:v>0</c:v>
                </c:pt>
                <c:pt idx="10">
                  <c:v>0</c:v>
                </c:pt>
                <c:pt idx="11">
                  <c:v>0</c:v>
                </c:pt>
                <c:pt idx="12">
                  <c:v>0</c:v>
                </c:pt>
              </c:numCache>
            </c:numRef>
          </c:val>
          <c:extLst>
            <c:ext xmlns:c16="http://schemas.microsoft.com/office/drawing/2014/chart" uri="{C3380CC4-5D6E-409C-BE32-E72D297353CC}">
              <c16:uniqueId val="{00000005-FB1E-4C9F-A482-544AD2049C07}"/>
            </c:ext>
          </c:extLst>
        </c:ser>
        <c:dLbls>
          <c:showLegendKey val="0"/>
          <c:showVal val="0"/>
          <c:showCatName val="0"/>
          <c:showSerName val="0"/>
          <c:showPercent val="0"/>
          <c:showBubbleSize val="0"/>
        </c:dLbls>
        <c:gapWidth val="50"/>
        <c:overlap val="100"/>
        <c:axId val="59309024"/>
        <c:axId val="22483370"/>
      </c:barChart>
      <c:catAx>
        <c:axId val="59309024"/>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2483370"/>
        <c:crosses val="autoZero"/>
        <c:auto val="1"/>
        <c:lblAlgn val="ctr"/>
        <c:lblOffset val="100"/>
        <c:noMultiLvlLbl val="0"/>
      </c:catAx>
      <c:valAx>
        <c:axId val="22483370"/>
        <c:scaling>
          <c:orientation val="minMax"/>
        </c:scaling>
        <c:delete val="0"/>
        <c:axPos val="l"/>
        <c:majorGridlines>
          <c:spPr>
            <a:ln w="9360">
              <a:solidFill>
                <a:srgbClr val="E0E0E0"/>
              </a:solidFill>
              <a:round/>
            </a:ln>
          </c:spPr>
        </c:majorGridlines>
        <c:numFmt formatCode="\$#,##0,\K"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9309024"/>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200" b="1" strike="noStrike" spc="-1">
                <a:solidFill>
                  <a:srgbClr val="000000"/>
                </a:solidFill>
                <a:latin typeface="Arial"/>
              </a:defRPr>
            </a:pPr>
            <a:r>
              <a:rPr lang="en-IN" sz="1200" b="1" strike="noStrike" spc="-1">
                <a:solidFill>
                  <a:srgbClr val="000000"/>
                </a:solidFill>
                <a:latin typeface="Arial"/>
              </a:rPr>
              <a:t>Receipts Forecast Error by Horizon</a:t>
            </a:r>
          </a:p>
        </c:rich>
      </c:tx>
      <c:overlay val="0"/>
      <c:spPr>
        <a:noFill/>
        <a:ln w="0">
          <a:noFill/>
        </a:ln>
      </c:spPr>
    </c:title>
    <c:autoTitleDeleted val="0"/>
    <c:plotArea>
      <c:layout/>
      <c:barChart>
        <c:barDir val="col"/>
        <c:grouping val="clustered"/>
        <c:varyColors val="0"/>
        <c:ser>
          <c:idx val="0"/>
          <c:order val="0"/>
          <c:tx>
            <c:strRef>
              <c:f>'Chart Data'!$B$55</c:f>
              <c:strCache>
                <c:ptCount val="1"/>
                <c:pt idx="0">
                  <c:v>Avg Variance %</c:v>
                </c:pt>
              </c:strCache>
            </c:strRef>
          </c:tx>
          <c:spPr>
            <a:solidFill>
              <a:srgbClr val="2E75B6"/>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Data'!$A$56:$A$59</c:f>
              <c:strCache>
                <c:ptCount val="4"/>
                <c:pt idx="0">
                  <c:v>1 wk out</c:v>
                </c:pt>
                <c:pt idx="1">
                  <c:v>2 wk out</c:v>
                </c:pt>
                <c:pt idx="2">
                  <c:v>3 wk out</c:v>
                </c:pt>
                <c:pt idx="3">
                  <c:v>4 wk out</c:v>
                </c:pt>
              </c:strCache>
            </c:strRef>
          </c:cat>
          <c:val>
            <c:numRef>
              <c:f>'Chart Data'!$B$56:$B$59</c:f>
              <c:numCache>
                <c:formatCode>0.0%</c:formatCode>
                <c:ptCount val="4"/>
                <c:pt idx="0">
                  <c:v>6.1405835395203612E-2</c:v>
                </c:pt>
                <c:pt idx="1">
                  <c:v>7.3089031302718169E-2</c:v>
                </c:pt>
                <c:pt idx="2">
                  <c:v>9.6171958546974676E-2</c:v>
                </c:pt>
                <c:pt idx="3">
                  <c:v>2.1066135207216025E-2</c:v>
                </c:pt>
              </c:numCache>
            </c:numRef>
          </c:val>
          <c:extLst>
            <c:ext xmlns:c16="http://schemas.microsoft.com/office/drawing/2014/chart" uri="{C3380CC4-5D6E-409C-BE32-E72D297353CC}">
              <c16:uniqueId val="{00000000-7860-40DC-BD2F-C5955E3CF693}"/>
            </c:ext>
          </c:extLst>
        </c:ser>
        <c:dLbls>
          <c:showLegendKey val="0"/>
          <c:showVal val="0"/>
          <c:showCatName val="0"/>
          <c:showSerName val="0"/>
          <c:showPercent val="0"/>
          <c:showBubbleSize val="0"/>
        </c:dLbls>
        <c:gapWidth val="80"/>
        <c:axId val="3331566"/>
        <c:axId val="29906633"/>
      </c:barChart>
      <c:catAx>
        <c:axId val="3331566"/>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9906633"/>
        <c:crosses val="autoZero"/>
        <c:auto val="1"/>
        <c:lblAlgn val="ctr"/>
        <c:lblOffset val="100"/>
        <c:noMultiLvlLbl val="0"/>
      </c:catAx>
      <c:valAx>
        <c:axId val="29906633"/>
        <c:scaling>
          <c:orientation val="minMax"/>
        </c:scaling>
        <c:delete val="0"/>
        <c:axPos val="l"/>
        <c:majorGridlines>
          <c:spPr>
            <a:ln w="9360">
              <a:solidFill>
                <a:srgbClr val="E0E0E0"/>
              </a:solidFill>
              <a:round/>
            </a:ln>
          </c:spPr>
        </c:majorGridlines>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33156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100800</xdr:rowOff>
    </xdr:from>
    <xdr:to>
      <xdr:col>9</xdr:col>
      <xdr:colOff>172800</xdr:colOff>
      <xdr:row>22</xdr:row>
      <xdr:rowOff>76680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6</xdr:row>
      <xdr:rowOff>100800</xdr:rowOff>
    </xdr:from>
    <xdr:to>
      <xdr:col>19</xdr:col>
      <xdr:colOff>172440</xdr:colOff>
      <xdr:row>22</xdr:row>
      <xdr:rowOff>76680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24</xdr:row>
      <xdr:rowOff>100800</xdr:rowOff>
    </xdr:from>
    <xdr:to>
      <xdr:col>9</xdr:col>
      <xdr:colOff>172800</xdr:colOff>
      <xdr:row>40</xdr:row>
      <xdr:rowOff>76680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0</xdr:colOff>
      <xdr:row>24</xdr:row>
      <xdr:rowOff>100800</xdr:rowOff>
    </xdr:from>
    <xdr:to>
      <xdr:col>19</xdr:col>
      <xdr:colOff>172440</xdr:colOff>
      <xdr:row>40</xdr:row>
      <xdr:rowOff>76680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42</xdr:row>
      <xdr:rowOff>100800</xdr:rowOff>
    </xdr:from>
    <xdr:to>
      <xdr:col>9</xdr:col>
      <xdr:colOff>172800</xdr:colOff>
      <xdr:row>58</xdr:row>
      <xdr:rowOff>76680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eridian_13Week_Cash_Forecast.xlsx" TargetMode="External"/><Relationship Id="rId2" Type="http://schemas.openxmlformats.org/officeDocument/2006/relationships/hyperlink" Target="Meridian_13Week_Cash_Forecast.xlsx" TargetMode="External"/><Relationship Id="rId1" Type="http://schemas.openxmlformats.org/officeDocument/2006/relationships/hyperlink" Target="Meridian_13Week_Cash_Forecast.xlsx" TargetMode="External"/><Relationship Id="rId4" Type="http://schemas.openxmlformats.org/officeDocument/2006/relationships/hyperlink" Target="Meridian_13Week_Cash_Forecast.xls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08080"/>
    <pageSetUpPr fitToPage="1"/>
  </sheetPr>
  <dimension ref="A1:G32"/>
  <sheetViews>
    <sheetView showGridLines="0" zoomScaleNormal="100" workbookViewId="0">
      <selection activeCell="C20" sqref="C20"/>
    </sheetView>
  </sheetViews>
  <sheetFormatPr defaultColWidth="8.6328125" defaultRowHeight="14.5" x14ac:dyDescent="0.35"/>
  <cols>
    <col min="1" max="1" width="2" customWidth="1"/>
    <col min="2" max="2" width="34" customWidth="1"/>
    <col min="3" max="3" width="95" customWidth="1"/>
  </cols>
  <sheetData>
    <row r="1" spans="1:7" ht="18" customHeight="1" x14ac:dyDescent="0.4">
      <c r="A1" s="2"/>
      <c r="B1" s="3" t="s">
        <v>178</v>
      </c>
      <c r="C1" s="2"/>
      <c r="D1" s="2"/>
      <c r="E1" s="2"/>
      <c r="F1" s="2"/>
      <c r="G1" s="2"/>
    </row>
    <row r="2" spans="1:7" x14ac:dyDescent="0.35">
      <c r="A2" s="2"/>
      <c r="B2" s="2"/>
      <c r="C2" s="2"/>
      <c r="D2" s="2"/>
      <c r="E2" s="2"/>
      <c r="F2" s="2"/>
      <c r="G2" s="2"/>
    </row>
    <row r="3" spans="1:7" ht="21.5" customHeight="1" x14ac:dyDescent="0.35">
      <c r="A3" s="2"/>
      <c r="B3" s="52" t="s">
        <v>0</v>
      </c>
      <c r="C3" s="6"/>
      <c r="D3" s="2"/>
      <c r="E3" s="2"/>
      <c r="F3" s="2"/>
      <c r="G3" s="2"/>
    </row>
    <row r="4" spans="1:7" ht="45" customHeight="1" x14ac:dyDescent="0.35">
      <c r="A4" s="2"/>
      <c r="B4" s="58" t="s">
        <v>179</v>
      </c>
      <c r="C4" s="54"/>
      <c r="D4" s="2"/>
      <c r="E4" s="2"/>
      <c r="F4" s="2"/>
      <c r="G4" s="2"/>
    </row>
    <row r="5" spans="1:7" x14ac:dyDescent="0.35">
      <c r="A5" s="2"/>
      <c r="B5" s="2"/>
      <c r="C5" s="2"/>
      <c r="D5" s="2"/>
      <c r="E5" s="2"/>
      <c r="F5" s="2"/>
      <c r="G5" s="2"/>
    </row>
    <row r="6" spans="1:7" x14ac:dyDescent="0.35">
      <c r="A6" s="2"/>
      <c r="B6" s="5" t="s">
        <v>176</v>
      </c>
      <c r="C6" s="6"/>
      <c r="D6" s="2"/>
      <c r="E6" s="2"/>
      <c r="F6" s="2"/>
      <c r="G6" s="2"/>
    </row>
    <row r="7" spans="1:7" ht="20" customHeight="1" x14ac:dyDescent="0.35">
      <c r="A7" s="2"/>
      <c r="B7" s="2" t="s">
        <v>1</v>
      </c>
      <c r="C7" s="7">
        <f>'KPI Summary'!C4</f>
        <v>3267000</v>
      </c>
      <c r="D7" s="2"/>
      <c r="E7" s="2"/>
      <c r="F7" s="2"/>
      <c r="G7" s="2"/>
    </row>
    <row r="8" spans="1:7" x14ac:dyDescent="0.35">
      <c r="A8" s="2"/>
      <c r="B8" s="2" t="s">
        <v>2</v>
      </c>
      <c r="C8" s="7">
        <f>'KPI Summary'!C5</f>
        <v>3440602.9001433006</v>
      </c>
      <c r="D8" s="2"/>
      <c r="E8" s="2"/>
      <c r="F8" s="2"/>
      <c r="G8" s="2"/>
    </row>
    <row r="9" spans="1:7" x14ac:dyDescent="0.35">
      <c r="A9" s="2"/>
      <c r="B9" s="2" t="s">
        <v>3</v>
      </c>
      <c r="C9" s="7">
        <f>'KPI Summary'!C7</f>
        <v>2057387.6595219369</v>
      </c>
      <c r="D9" s="2"/>
      <c r="E9" s="2"/>
      <c r="F9" s="2"/>
      <c r="G9" s="2"/>
    </row>
    <row r="10" spans="1:7" x14ac:dyDescent="0.35">
      <c r="A10" s="2"/>
      <c r="B10" s="2" t="s">
        <v>4</v>
      </c>
      <c r="C10" s="7">
        <f>'KPI Summary'!D24</f>
        <v>631151.6677667778</v>
      </c>
      <c r="D10" s="2"/>
      <c r="E10" s="2"/>
      <c r="F10" s="2"/>
      <c r="G10" s="2"/>
    </row>
    <row r="11" spans="1:7" x14ac:dyDescent="0.35">
      <c r="A11" s="2"/>
      <c r="B11" s="2"/>
      <c r="C11" s="2"/>
      <c r="D11" s="2"/>
      <c r="E11" s="2"/>
      <c r="F11" s="2"/>
      <c r="G11" s="2"/>
    </row>
    <row r="12" spans="1:7" x14ac:dyDescent="0.35">
      <c r="A12" s="2"/>
      <c r="B12" s="5" t="s">
        <v>164</v>
      </c>
      <c r="C12" s="6"/>
      <c r="D12" s="2"/>
      <c r="E12" s="2"/>
      <c r="F12" s="2"/>
      <c r="G12" s="2"/>
    </row>
    <row r="13" spans="1:7" ht="27.75" customHeight="1" x14ac:dyDescent="0.35">
      <c r="A13" s="2"/>
      <c r="B13" s="51" t="s">
        <v>5</v>
      </c>
      <c r="C13" s="1" t="s">
        <v>6</v>
      </c>
      <c r="D13" s="2"/>
      <c r="E13" s="2"/>
      <c r="F13" s="2"/>
      <c r="G13" s="2"/>
    </row>
    <row r="14" spans="1:7" ht="27.75" customHeight="1" x14ac:dyDescent="0.35">
      <c r="A14" s="2"/>
      <c r="B14" s="51" t="s">
        <v>7</v>
      </c>
      <c r="C14" s="1" t="s">
        <v>8</v>
      </c>
      <c r="D14" s="2"/>
      <c r="E14" s="2"/>
      <c r="F14" s="2"/>
      <c r="G14" s="2"/>
    </row>
    <row r="15" spans="1:7" ht="17" customHeight="1" x14ac:dyDescent="0.35">
      <c r="A15" s="2"/>
      <c r="B15" s="51" t="s">
        <v>9</v>
      </c>
      <c r="C15" s="46" t="s">
        <v>172</v>
      </c>
      <c r="D15" s="2"/>
      <c r="E15" s="2"/>
      <c r="F15" s="2"/>
      <c r="G15" s="2"/>
    </row>
    <row r="16" spans="1:7" ht="15" customHeight="1" x14ac:dyDescent="0.35">
      <c r="A16" s="2"/>
      <c r="B16" s="51" t="s">
        <v>10</v>
      </c>
      <c r="C16" s="46" t="s">
        <v>171</v>
      </c>
      <c r="D16" s="2"/>
      <c r="E16" s="2"/>
      <c r="F16" s="2"/>
      <c r="G16" s="2"/>
    </row>
    <row r="17" spans="1:7" ht="19" customHeight="1" x14ac:dyDescent="0.35">
      <c r="A17" s="2"/>
      <c r="B17" s="51" t="s">
        <v>11</v>
      </c>
      <c r="C17" s="46" t="s">
        <v>177</v>
      </c>
      <c r="D17" s="2"/>
      <c r="E17" s="2"/>
      <c r="F17" s="2"/>
      <c r="G17" s="2"/>
    </row>
    <row r="18" spans="1:7" ht="15.5" customHeight="1" x14ac:dyDescent="0.35">
      <c r="A18" s="2"/>
      <c r="B18" s="51" t="s">
        <v>12</v>
      </c>
      <c r="C18" s="1" t="s">
        <v>13</v>
      </c>
      <c r="D18" s="2"/>
      <c r="E18" s="2"/>
      <c r="F18" s="2"/>
      <c r="G18" s="2"/>
    </row>
    <row r="19" spans="1:7" ht="21" customHeight="1" x14ac:dyDescent="0.35">
      <c r="A19" s="2"/>
      <c r="B19" s="51" t="s">
        <v>14</v>
      </c>
      <c r="C19" s="46" t="s">
        <v>173</v>
      </c>
      <c r="D19" s="2"/>
      <c r="E19" s="2"/>
      <c r="F19" s="2"/>
      <c r="G19" s="2"/>
    </row>
    <row r="20" spans="1:7" ht="27.75" customHeight="1" x14ac:dyDescent="0.35">
      <c r="A20" s="2"/>
      <c r="B20" s="51" t="s">
        <v>15</v>
      </c>
      <c r="C20" s="1" t="s">
        <v>16</v>
      </c>
      <c r="D20" s="2"/>
      <c r="E20" s="2"/>
      <c r="F20" s="2"/>
      <c r="G20" s="2"/>
    </row>
    <row r="21" spans="1:7" ht="15" customHeight="1" x14ac:dyDescent="0.35">
      <c r="A21" s="2"/>
      <c r="B21" s="51" t="s">
        <v>17</v>
      </c>
      <c r="C21" s="1" t="s">
        <v>18</v>
      </c>
      <c r="D21" s="2"/>
      <c r="E21" s="2"/>
      <c r="F21" s="2"/>
      <c r="G21" s="2"/>
    </row>
    <row r="22" spans="1:7" ht="15" customHeight="1" x14ac:dyDescent="0.35">
      <c r="A22" s="2"/>
      <c r="B22" s="51" t="s">
        <v>19</v>
      </c>
      <c r="C22" s="46" t="s">
        <v>174</v>
      </c>
      <c r="D22" s="2"/>
      <c r="E22" s="2"/>
      <c r="F22" s="2"/>
      <c r="G22" s="2"/>
    </row>
    <row r="23" spans="1:7" x14ac:dyDescent="0.35">
      <c r="A23" s="2"/>
      <c r="B23" s="2"/>
      <c r="C23" s="2"/>
      <c r="D23" s="2"/>
      <c r="E23" s="2"/>
      <c r="F23" s="2"/>
      <c r="G23" s="2"/>
    </row>
    <row r="24" spans="1:7" x14ac:dyDescent="0.35">
      <c r="A24" s="2"/>
      <c r="B24" s="2"/>
      <c r="C24" s="2"/>
      <c r="D24" s="2"/>
      <c r="E24" s="2"/>
      <c r="F24" s="2"/>
      <c r="G24" s="2"/>
    </row>
    <row r="25" spans="1:7" x14ac:dyDescent="0.35">
      <c r="A25" s="2"/>
      <c r="B25" s="5" t="s">
        <v>20</v>
      </c>
      <c r="C25" s="6"/>
      <c r="D25" s="2"/>
      <c r="E25" s="2"/>
      <c r="F25" s="2"/>
      <c r="G25" s="2"/>
    </row>
    <row r="26" spans="1:7" x14ac:dyDescent="0.35">
      <c r="A26" s="2"/>
      <c r="B26" s="8" t="s">
        <v>21</v>
      </c>
      <c r="C26" s="2" t="s">
        <v>22</v>
      </c>
      <c r="D26" s="2"/>
      <c r="E26" s="2"/>
      <c r="F26" s="2"/>
      <c r="G26" s="2"/>
    </row>
    <row r="27" spans="1:7" x14ac:dyDescent="0.35">
      <c r="A27" s="2"/>
      <c r="B27" s="2" t="s">
        <v>23</v>
      </c>
      <c r="C27" s="50" t="s">
        <v>175</v>
      </c>
      <c r="D27" s="2"/>
      <c r="E27" s="2"/>
      <c r="F27" s="2"/>
      <c r="G27" s="2"/>
    </row>
    <row r="28" spans="1:7" x14ac:dyDescent="0.35">
      <c r="A28" s="2"/>
      <c r="B28" s="9" t="s">
        <v>24</v>
      </c>
      <c r="C28" s="2" t="s">
        <v>25</v>
      </c>
      <c r="D28" s="2"/>
      <c r="E28" s="2"/>
      <c r="F28" s="2"/>
      <c r="G28" s="2"/>
    </row>
    <row r="29" spans="1:7" x14ac:dyDescent="0.35">
      <c r="B29" s="10" t="s">
        <v>26</v>
      </c>
      <c r="C29" s="2" t="s">
        <v>27</v>
      </c>
    </row>
    <row r="31" spans="1:7" x14ac:dyDescent="0.35">
      <c r="B31" s="5" t="s">
        <v>28</v>
      </c>
      <c r="C31" s="11"/>
    </row>
    <row r="32" spans="1:7" ht="30" customHeight="1" x14ac:dyDescent="0.35">
      <c r="B32" s="54" t="s">
        <v>29</v>
      </c>
      <c r="C32" s="54"/>
    </row>
  </sheetData>
  <mergeCells count="2">
    <mergeCell ref="B32:C32"/>
    <mergeCell ref="B4:C4"/>
  </mergeCells>
  <hyperlinks>
    <hyperlink ref="B22" location="'Chart Data'!A1" display="Chart Data" xr:uid="{00000000-0004-0000-0000-00000A000000}"/>
    <hyperlink ref="B21" location="'KPI Summary'!A1" display="KPI Summary" xr:uid="{00000000-0004-0000-0000-000008000000}"/>
    <hyperlink ref="B20" location="'Snapshot Log'!A1" display="Snapshot Log" xr:uid="{00000000-0004-0000-0000-000007000000}"/>
    <hyperlink ref="B19" location="'Variance Calc'!A1" display="Variance Calc" xr:uid="{00000000-0004-0000-0000-000006000000}"/>
    <hyperlink ref="B18" r:id="rId1" location="'Scenario'!A1" xr:uid="{00000000-0004-0000-0000-000005000000}"/>
    <hyperlink ref="B17" location="'Live Model'!A1" display="Live Model" xr:uid="{00000000-0004-0000-0000-000004000000}"/>
    <hyperlink ref="B16" r:id="rId2" location="'Actuals'!A1" xr:uid="{00000000-0004-0000-0000-000003000000}"/>
    <hyperlink ref="B15" location="'Driver Build'!A1" display="Driver Build" xr:uid="{00000000-0004-0000-0000-000002000000}"/>
    <hyperlink ref="B14" r:id="rId3" location="'Assumptions'!A1" xr:uid="{00000000-0004-0000-0000-000001000000}"/>
    <hyperlink ref="B13" r:id="rId4" location="'Dashboard'!A1" xr:uid="{00000000-0004-0000-0000-000000000000}"/>
  </hyperlinks>
  <pageMargins left="0.75" right="0.75" top="1" bottom="1" header="0.511811023622047" footer="0.511811023622047"/>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B1:S55"/>
  <sheetViews>
    <sheetView showGridLines="0" tabSelected="1" zoomScale="82" zoomScaleNormal="100" workbookViewId="0"/>
  </sheetViews>
  <sheetFormatPr defaultColWidth="8.6328125" defaultRowHeight="14.5" x14ac:dyDescent="0.35"/>
  <cols>
    <col min="1" max="1" width="2" customWidth="1"/>
    <col min="2" max="20" width="11.453125" customWidth="1"/>
  </cols>
  <sheetData>
    <row r="1" spans="2:18" ht="23" x14ac:dyDescent="0.5">
      <c r="B1" s="12" t="s">
        <v>182</v>
      </c>
    </row>
    <row r="2" spans="2:18" x14ac:dyDescent="0.35">
      <c r="B2" s="4" t="str">
        <f>"As of Week "&amp;Assumptions!$C$30&amp;" close ("&amp;TEXT(INDEX(Actuals!$C$3:$F$3,Assumptions!$C$30),"mmm d, yyyy")&amp;")  |  Forecast Weeks 5–17 "</f>
        <v xml:space="preserve">As of Week 4 close (Sep 11, 2026)  |  Forecast Weeks 5–17 </v>
      </c>
    </row>
    <row r="4" spans="2:18" x14ac:dyDescent="0.35">
      <c r="B4" s="55" t="s">
        <v>30</v>
      </c>
      <c r="C4" s="55"/>
      <c r="E4" s="55" t="s">
        <v>31</v>
      </c>
      <c r="F4" s="55"/>
      <c r="H4" s="55" t="s">
        <v>32</v>
      </c>
      <c r="I4" s="55"/>
      <c r="K4" s="55" t="s">
        <v>33</v>
      </c>
      <c r="L4" s="55"/>
      <c r="N4" s="55" t="s">
        <v>34</v>
      </c>
      <c r="O4" s="55"/>
      <c r="Q4" s="55" t="s">
        <v>181</v>
      </c>
      <c r="R4" s="55"/>
    </row>
    <row r="5" spans="2:18" ht="31.5" customHeight="1" x14ac:dyDescent="0.35">
      <c r="B5" s="56">
        <f>'KPI Summary'!C4</f>
        <v>3267000</v>
      </c>
      <c r="C5" s="56"/>
      <c r="E5" s="56">
        <f>'KPI Summary'!C5</f>
        <v>3440602.9001433006</v>
      </c>
      <c r="F5" s="56"/>
      <c r="H5" s="56">
        <f>'KPI Summary'!C7</f>
        <v>2057387.6595219369</v>
      </c>
      <c r="I5" s="56"/>
      <c r="K5" s="56">
        <f>'KPI Summary'!D24</f>
        <v>631151.6677667778</v>
      </c>
      <c r="L5" s="56"/>
      <c r="N5" s="56">
        <f>'KPI Summary'!C8</f>
        <v>13354.069241792429</v>
      </c>
      <c r="O5" s="56"/>
      <c r="Q5" s="57">
        <f>'KPI Summary'!C15</f>
        <v>6.1405835395203612E-2</v>
      </c>
      <c r="R5" s="57"/>
    </row>
    <row r="6" spans="2:18" x14ac:dyDescent="0.35">
      <c r="B6" s="13"/>
      <c r="H6" s="13"/>
    </row>
    <row r="45" spans="12:19" x14ac:dyDescent="0.35">
      <c r="L45" s="14"/>
    </row>
    <row r="46" spans="12:19" ht="15" customHeight="1" x14ac:dyDescent="0.35">
      <c r="L46" s="54"/>
      <c r="M46" s="54"/>
      <c r="N46" s="54"/>
      <c r="O46" s="54"/>
      <c r="P46" s="54"/>
      <c r="Q46" s="54"/>
      <c r="R46" s="54"/>
      <c r="S46" s="54"/>
    </row>
    <row r="47" spans="12:19" x14ac:dyDescent="0.35">
      <c r="L47" s="54"/>
      <c r="M47" s="54"/>
      <c r="N47" s="54"/>
      <c r="O47" s="54"/>
      <c r="P47" s="54"/>
      <c r="Q47" s="54"/>
      <c r="R47" s="54"/>
      <c r="S47" s="54"/>
    </row>
    <row r="48" spans="12:19" ht="15" customHeight="1" x14ac:dyDescent="0.35">
      <c r="L48" s="54"/>
      <c r="M48" s="54"/>
      <c r="N48" s="54"/>
      <c r="O48" s="54"/>
      <c r="P48" s="54"/>
      <c r="Q48" s="54"/>
      <c r="R48" s="54"/>
      <c r="S48" s="54"/>
    </row>
    <row r="49" spans="12:19" x14ac:dyDescent="0.35">
      <c r="L49" s="54"/>
      <c r="M49" s="54"/>
      <c r="N49" s="54"/>
      <c r="O49" s="54"/>
      <c r="P49" s="54"/>
      <c r="Q49" s="54"/>
      <c r="R49" s="54"/>
      <c r="S49" s="54"/>
    </row>
    <row r="50" spans="12:19" ht="15" customHeight="1" x14ac:dyDescent="0.35">
      <c r="L50" s="54"/>
      <c r="M50" s="54"/>
      <c r="N50" s="54"/>
      <c r="O50" s="54"/>
      <c r="P50" s="54"/>
      <c r="Q50" s="54"/>
      <c r="R50" s="54"/>
      <c r="S50" s="54"/>
    </row>
    <row r="51" spans="12:19" x14ac:dyDescent="0.35">
      <c r="L51" s="54"/>
      <c r="M51" s="54"/>
      <c r="N51" s="54"/>
      <c r="O51" s="54"/>
      <c r="P51" s="54"/>
      <c r="Q51" s="54"/>
      <c r="R51" s="54"/>
      <c r="S51" s="54"/>
    </row>
    <row r="52" spans="12:19" ht="15" customHeight="1" x14ac:dyDescent="0.35">
      <c r="L52" s="54"/>
      <c r="M52" s="54"/>
      <c r="N52" s="54"/>
      <c r="O52" s="54"/>
      <c r="P52" s="54"/>
      <c r="Q52" s="54"/>
      <c r="R52" s="54"/>
      <c r="S52" s="54"/>
    </row>
    <row r="53" spans="12:19" x14ac:dyDescent="0.35">
      <c r="L53" s="54"/>
      <c r="M53" s="54"/>
      <c r="N53" s="54"/>
      <c r="O53" s="54"/>
      <c r="P53" s="54"/>
      <c r="Q53" s="54"/>
      <c r="R53" s="54"/>
      <c r="S53" s="54"/>
    </row>
    <row r="54" spans="12:19" ht="15" customHeight="1" x14ac:dyDescent="0.35">
      <c r="L54" s="54"/>
      <c r="M54" s="54"/>
      <c r="N54" s="54"/>
      <c r="O54" s="54"/>
      <c r="P54" s="54"/>
      <c r="Q54" s="54"/>
      <c r="R54" s="54"/>
      <c r="S54" s="54"/>
    </row>
    <row r="55" spans="12:19" x14ac:dyDescent="0.35">
      <c r="L55" s="54"/>
      <c r="M55" s="54"/>
      <c r="N55" s="54"/>
      <c r="O55" s="54"/>
      <c r="P55" s="54"/>
      <c r="Q55" s="54"/>
      <c r="R55" s="54"/>
      <c r="S55" s="54"/>
    </row>
  </sheetData>
  <mergeCells count="17">
    <mergeCell ref="Q4:R4"/>
    <mergeCell ref="B5:C5"/>
    <mergeCell ref="E5:F5"/>
    <mergeCell ref="H5:I5"/>
    <mergeCell ref="K5:L5"/>
    <mergeCell ref="N5:O5"/>
    <mergeCell ref="Q5:R5"/>
    <mergeCell ref="B4:C4"/>
    <mergeCell ref="E4:F4"/>
    <mergeCell ref="H4:I4"/>
    <mergeCell ref="K4:L4"/>
    <mergeCell ref="N4:O4"/>
    <mergeCell ref="L46:S47"/>
    <mergeCell ref="L48:S49"/>
    <mergeCell ref="L50:S51"/>
    <mergeCell ref="L52:S53"/>
    <mergeCell ref="L54:S55"/>
  </mergeCells>
  <pageMargins left="0.75" right="0.75" top="1" bottom="1" header="0.511811023622047" footer="0.511811023622047"/>
  <pageSetup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B1:S51"/>
  <sheetViews>
    <sheetView showGridLines="0" zoomScaleNormal="100" workbookViewId="0">
      <pane xSplit="2" ySplit="2" topLeftCell="C40" activePane="bottomRight" state="frozen"/>
      <selection pane="topRight" activeCell="C1" sqref="C1"/>
      <selection pane="bottomLeft" activeCell="A4" sqref="A4"/>
      <selection pane="bottomRight" activeCell="E7" sqref="E7"/>
    </sheetView>
  </sheetViews>
  <sheetFormatPr defaultColWidth="8.6328125" defaultRowHeight="14.5" x14ac:dyDescent="0.35"/>
  <cols>
    <col min="1" max="1" width="2" customWidth="1"/>
    <col min="2" max="2" width="40" customWidth="1"/>
    <col min="3" max="3" width="13.36328125" customWidth="1"/>
    <col min="4" max="19" width="12" customWidth="1"/>
  </cols>
  <sheetData>
    <row r="1" spans="2:15" ht="18" customHeight="1" x14ac:dyDescent="0.4">
      <c r="B1" s="15" t="s">
        <v>35</v>
      </c>
    </row>
    <row r="3" spans="2:15" x14ac:dyDescent="0.35">
      <c r="B3" s="5" t="s">
        <v>36</v>
      </c>
      <c r="C3" s="11"/>
      <c r="D3" s="11"/>
      <c r="E3" s="11"/>
      <c r="F3" s="11"/>
      <c r="G3" s="11"/>
      <c r="H3" s="11"/>
      <c r="I3" s="11"/>
      <c r="J3" s="11"/>
      <c r="K3" s="11"/>
      <c r="L3" s="11"/>
      <c r="M3" s="11"/>
      <c r="N3" s="11"/>
      <c r="O3" s="11"/>
    </row>
    <row r="4" spans="2:15" x14ac:dyDescent="0.35">
      <c r="B4" s="16" t="s">
        <v>37</v>
      </c>
      <c r="C4" s="16" t="s">
        <v>38</v>
      </c>
    </row>
    <row r="5" spans="2:15" x14ac:dyDescent="0.35">
      <c r="B5" s="17" t="s">
        <v>39</v>
      </c>
      <c r="C5" s="18">
        <v>0.08</v>
      </c>
    </row>
    <row r="6" spans="2:15" x14ac:dyDescent="0.35">
      <c r="B6" s="17" t="s">
        <v>40</v>
      </c>
      <c r="C6" s="18">
        <v>0.37</v>
      </c>
    </row>
    <row r="7" spans="2:15" x14ac:dyDescent="0.35">
      <c r="B7" s="17" t="s">
        <v>41</v>
      </c>
      <c r="C7" s="18">
        <v>0.28000000000000003</v>
      </c>
    </row>
    <row r="8" spans="2:15" x14ac:dyDescent="0.35">
      <c r="B8" s="17" t="s">
        <v>42</v>
      </c>
      <c r="C8" s="18">
        <v>0.17</v>
      </c>
    </row>
    <row r="9" spans="2:15" x14ac:dyDescent="0.35">
      <c r="B9" s="17" t="s">
        <v>43</v>
      </c>
      <c r="C9" s="18">
        <v>0.08</v>
      </c>
    </row>
    <row r="10" spans="2:15" x14ac:dyDescent="0.35">
      <c r="B10" s="17" t="s">
        <v>44</v>
      </c>
      <c r="C10" s="18">
        <v>0.02</v>
      </c>
    </row>
    <row r="11" spans="2:15" x14ac:dyDescent="0.35">
      <c r="B11" s="19" t="s">
        <v>45</v>
      </c>
      <c r="C11" s="20">
        <f>SUM(C5:C10)</f>
        <v>1</v>
      </c>
    </row>
    <row r="13" spans="2:15" x14ac:dyDescent="0.35">
      <c r="B13" s="5" t="s">
        <v>46</v>
      </c>
      <c r="C13" s="11"/>
      <c r="D13" s="11"/>
      <c r="E13" s="11"/>
      <c r="F13" s="11"/>
      <c r="G13" s="11"/>
      <c r="H13" s="11"/>
      <c r="I13" s="11"/>
      <c r="J13" s="11"/>
      <c r="K13" s="11"/>
      <c r="L13" s="11"/>
      <c r="M13" s="11"/>
      <c r="N13" s="11"/>
      <c r="O13" s="11"/>
    </row>
    <row r="14" spans="2:15" x14ac:dyDescent="0.35">
      <c r="B14" s="16" t="s">
        <v>47</v>
      </c>
      <c r="C14" s="16" t="s">
        <v>48</v>
      </c>
    </row>
    <row r="15" spans="2:15" x14ac:dyDescent="0.35">
      <c r="B15" s="17" t="s">
        <v>39</v>
      </c>
      <c r="C15" s="18">
        <v>0.05</v>
      </c>
    </row>
    <row r="16" spans="2:15" x14ac:dyDescent="0.35">
      <c r="B16" s="17" t="s">
        <v>40</v>
      </c>
      <c r="C16" s="18">
        <v>0.2</v>
      </c>
    </row>
    <row r="17" spans="2:15" x14ac:dyDescent="0.35">
      <c r="B17" s="17" t="s">
        <v>41</v>
      </c>
      <c r="C17" s="18">
        <v>0.35</v>
      </c>
    </row>
    <row r="18" spans="2:15" x14ac:dyDescent="0.35">
      <c r="B18" s="17" t="s">
        <v>42</v>
      </c>
      <c r="C18" s="18">
        <v>0.3</v>
      </c>
    </row>
    <row r="19" spans="2:15" x14ac:dyDescent="0.35">
      <c r="B19" s="17" t="s">
        <v>43</v>
      </c>
      <c r="C19" s="18">
        <v>0.1</v>
      </c>
    </row>
    <row r="20" spans="2:15" x14ac:dyDescent="0.35">
      <c r="B20" s="19" t="s">
        <v>45</v>
      </c>
      <c r="C20" s="20">
        <f>SUM(C15:C19)</f>
        <v>0.99999999999999989</v>
      </c>
    </row>
    <row r="22" spans="2:15" x14ac:dyDescent="0.35">
      <c r="B22" s="5" t="s">
        <v>49</v>
      </c>
      <c r="C22" s="11"/>
      <c r="D22" s="11"/>
      <c r="E22" s="11"/>
      <c r="F22" s="11"/>
      <c r="G22" s="11"/>
      <c r="H22" s="11"/>
      <c r="I22" s="11"/>
      <c r="J22" s="11"/>
      <c r="K22" s="11"/>
      <c r="L22" s="11"/>
      <c r="M22" s="11"/>
      <c r="N22" s="11"/>
      <c r="O22" s="11"/>
    </row>
    <row r="23" spans="2:15" x14ac:dyDescent="0.35">
      <c r="B23" s="17" t="s">
        <v>50</v>
      </c>
      <c r="C23" s="21">
        <v>1000000</v>
      </c>
    </row>
    <row r="24" spans="2:15" x14ac:dyDescent="0.35">
      <c r="B24" s="17" t="s">
        <v>51</v>
      </c>
      <c r="C24" s="22">
        <v>2.5000000000000001E-3</v>
      </c>
    </row>
    <row r="25" spans="2:15" x14ac:dyDescent="0.35">
      <c r="B25" s="17" t="s">
        <v>52</v>
      </c>
      <c r="C25" s="18">
        <v>0.62</v>
      </c>
    </row>
    <row r="27" spans="2:15" x14ac:dyDescent="0.35">
      <c r="B27" s="5" t="s">
        <v>53</v>
      </c>
      <c r="C27" s="11"/>
      <c r="D27" s="11"/>
      <c r="E27" s="11"/>
      <c r="F27" s="11"/>
      <c r="G27" s="11"/>
      <c r="H27" s="11"/>
      <c r="I27" s="11"/>
      <c r="J27" s="11"/>
      <c r="K27" s="11"/>
      <c r="L27" s="11"/>
      <c r="M27" s="11"/>
      <c r="N27" s="11"/>
      <c r="O27" s="11"/>
    </row>
    <row r="28" spans="2:15" x14ac:dyDescent="0.35">
      <c r="B28" s="17" t="s">
        <v>54</v>
      </c>
      <c r="C28" s="21">
        <v>1200000</v>
      </c>
    </row>
    <row r="29" spans="2:15" x14ac:dyDescent="0.35">
      <c r="B29" s="17" t="s">
        <v>55</v>
      </c>
      <c r="C29" s="23">
        <v>2850000</v>
      </c>
    </row>
    <row r="30" spans="2:15" x14ac:dyDescent="0.35">
      <c r="B30" s="17" t="s">
        <v>56</v>
      </c>
      <c r="C30" s="24">
        <v>4</v>
      </c>
    </row>
    <row r="31" spans="2:15" x14ac:dyDescent="0.35">
      <c r="B31" s="17" t="s">
        <v>57</v>
      </c>
      <c r="C31" s="8">
        <v>13</v>
      </c>
    </row>
    <row r="33" spans="2:19" x14ac:dyDescent="0.35">
      <c r="B33" s="5" t="s">
        <v>58</v>
      </c>
      <c r="C33" s="11"/>
      <c r="D33" s="11"/>
      <c r="E33" s="11"/>
      <c r="F33" s="11"/>
      <c r="G33" s="11"/>
      <c r="H33" s="11"/>
      <c r="I33" s="11"/>
      <c r="J33" s="11"/>
      <c r="K33" s="11"/>
      <c r="L33" s="11"/>
      <c r="M33" s="11"/>
      <c r="N33" s="11"/>
      <c r="O33" s="11"/>
      <c r="P33" s="11"/>
      <c r="Q33" s="11"/>
      <c r="R33" s="11"/>
      <c r="S33" s="11"/>
    </row>
    <row r="34" spans="2:19" x14ac:dyDescent="0.35">
      <c r="B34" s="19" t="s">
        <v>59</v>
      </c>
      <c r="C34" s="19">
        <v>1</v>
      </c>
      <c r="D34" s="19">
        <v>2</v>
      </c>
      <c r="E34" s="19">
        <v>3</v>
      </c>
      <c r="F34" s="19">
        <v>4</v>
      </c>
      <c r="G34" s="19">
        <v>5</v>
      </c>
      <c r="H34" s="19">
        <v>6</v>
      </c>
      <c r="I34" s="19">
        <v>7</v>
      </c>
      <c r="J34" s="19">
        <v>8</v>
      </c>
      <c r="K34" s="19">
        <v>9</v>
      </c>
      <c r="L34" s="19">
        <v>10</v>
      </c>
      <c r="M34" s="19">
        <v>11</v>
      </c>
      <c r="N34" s="19">
        <v>12</v>
      </c>
      <c r="O34" s="19">
        <v>13</v>
      </c>
      <c r="P34" s="19">
        <v>14</v>
      </c>
      <c r="Q34" s="19">
        <v>15</v>
      </c>
      <c r="R34" s="19">
        <v>16</v>
      </c>
      <c r="S34" s="19">
        <v>17</v>
      </c>
    </row>
    <row r="35" spans="2:19" x14ac:dyDescent="0.35">
      <c r="B35" s="19" t="s">
        <v>60</v>
      </c>
      <c r="C35" s="25">
        <v>46255</v>
      </c>
      <c r="D35" s="25">
        <v>46262</v>
      </c>
      <c r="E35" s="25">
        <v>46269</v>
      </c>
      <c r="F35" s="25">
        <v>46276</v>
      </c>
      <c r="G35" s="25">
        <v>46283</v>
      </c>
      <c r="H35" s="25">
        <v>46290</v>
      </c>
      <c r="I35" s="25">
        <v>46297</v>
      </c>
      <c r="J35" s="25">
        <v>46304</v>
      </c>
      <c r="K35" s="25">
        <v>46311</v>
      </c>
      <c r="L35" s="25">
        <v>46318</v>
      </c>
      <c r="M35" s="25">
        <v>46325</v>
      </c>
      <c r="N35" s="25">
        <v>46332</v>
      </c>
      <c r="O35" s="25">
        <v>46339</v>
      </c>
      <c r="P35" s="25">
        <v>46346</v>
      </c>
      <c r="Q35" s="25">
        <v>46353</v>
      </c>
      <c r="R35" s="25">
        <v>46360</v>
      </c>
      <c r="S35" s="25">
        <v>46367</v>
      </c>
    </row>
    <row r="36" spans="2:19" x14ac:dyDescent="0.35">
      <c r="B36" s="17" t="s">
        <v>61</v>
      </c>
      <c r="C36" s="26">
        <v>1</v>
      </c>
      <c r="D36" s="26">
        <v>1</v>
      </c>
      <c r="E36" s="26">
        <v>1.02</v>
      </c>
      <c r="F36" s="26">
        <v>1.02</v>
      </c>
      <c r="G36" s="26">
        <v>1.04</v>
      </c>
      <c r="H36" s="26">
        <v>1.05</v>
      </c>
      <c r="I36" s="26">
        <v>1.06</v>
      </c>
      <c r="J36" s="26">
        <v>1.05</v>
      </c>
      <c r="K36" s="26">
        <v>1.07</v>
      </c>
      <c r="L36" s="26">
        <v>1.04</v>
      </c>
      <c r="M36" s="26">
        <v>0.98</v>
      </c>
      <c r="N36" s="26">
        <v>0.93</v>
      </c>
      <c r="O36" s="26">
        <v>0.88</v>
      </c>
      <c r="P36" s="26">
        <v>0.8</v>
      </c>
      <c r="Q36" s="26">
        <v>0.62</v>
      </c>
      <c r="R36" s="26">
        <v>0.82</v>
      </c>
      <c r="S36" s="26">
        <v>0.75</v>
      </c>
    </row>
    <row r="38" spans="2:19" x14ac:dyDescent="0.35">
      <c r="B38" s="5" t="s">
        <v>62</v>
      </c>
      <c r="C38" s="11"/>
      <c r="D38" s="11"/>
      <c r="E38" s="11"/>
      <c r="F38" s="11"/>
      <c r="G38" s="11"/>
      <c r="H38" s="11"/>
      <c r="I38" s="11"/>
      <c r="J38" s="11"/>
      <c r="K38" s="11"/>
      <c r="L38" s="11"/>
      <c r="M38" s="11"/>
      <c r="N38" s="11"/>
      <c r="O38" s="11"/>
    </row>
    <row r="39" spans="2:19" x14ac:dyDescent="0.35">
      <c r="B39" s="19" t="s">
        <v>59</v>
      </c>
      <c r="C39" s="19">
        <v>5</v>
      </c>
      <c r="D39" s="19">
        <v>6</v>
      </c>
      <c r="E39" s="19">
        <v>7</v>
      </c>
      <c r="F39" s="19">
        <v>8</v>
      </c>
      <c r="G39" s="19">
        <v>9</v>
      </c>
      <c r="H39" s="19">
        <v>10</v>
      </c>
      <c r="I39" s="19">
        <v>11</v>
      </c>
      <c r="J39" s="19">
        <v>12</v>
      </c>
      <c r="K39" s="19">
        <v>13</v>
      </c>
      <c r="L39" s="19">
        <v>14</v>
      </c>
      <c r="M39" s="19">
        <v>15</v>
      </c>
      <c r="N39" s="19">
        <v>16</v>
      </c>
      <c r="O39" s="19">
        <v>17</v>
      </c>
    </row>
    <row r="40" spans="2:19" x14ac:dyDescent="0.35">
      <c r="B40" s="19" t="s">
        <v>60</v>
      </c>
      <c r="C40" s="27">
        <f t="shared" ref="C40:O40" si="0">G35</f>
        <v>46283</v>
      </c>
      <c r="D40" s="27">
        <f t="shared" si="0"/>
        <v>46290</v>
      </c>
      <c r="E40" s="27">
        <f t="shared" si="0"/>
        <v>46297</v>
      </c>
      <c r="F40" s="27">
        <f t="shared" si="0"/>
        <v>46304</v>
      </c>
      <c r="G40" s="27">
        <f t="shared" si="0"/>
        <v>46311</v>
      </c>
      <c r="H40" s="27">
        <f t="shared" si="0"/>
        <v>46318</v>
      </c>
      <c r="I40" s="27">
        <f t="shared" si="0"/>
        <v>46325</v>
      </c>
      <c r="J40" s="27">
        <f t="shared" si="0"/>
        <v>46332</v>
      </c>
      <c r="K40" s="27">
        <f t="shared" si="0"/>
        <v>46339</v>
      </c>
      <c r="L40" s="27">
        <f t="shared" si="0"/>
        <v>46346</v>
      </c>
      <c r="M40" s="27">
        <f t="shared" si="0"/>
        <v>46353</v>
      </c>
      <c r="N40" s="27">
        <f t="shared" si="0"/>
        <v>46360</v>
      </c>
      <c r="O40" s="27">
        <f t="shared" si="0"/>
        <v>46367</v>
      </c>
    </row>
    <row r="41" spans="2:19" x14ac:dyDescent="0.35">
      <c r="B41" s="17" t="s">
        <v>63</v>
      </c>
      <c r="C41" s="23">
        <v>0</v>
      </c>
      <c r="D41" s="23">
        <v>318000</v>
      </c>
      <c r="E41" s="23">
        <v>0</v>
      </c>
      <c r="F41" s="23">
        <v>318000</v>
      </c>
      <c r="G41" s="23">
        <v>0</v>
      </c>
      <c r="H41" s="23">
        <v>318000</v>
      </c>
      <c r="I41" s="23">
        <v>0</v>
      </c>
      <c r="J41" s="23">
        <v>318000</v>
      </c>
      <c r="K41" s="23">
        <v>0</v>
      </c>
      <c r="L41" s="23">
        <v>318000</v>
      </c>
      <c r="M41" s="23">
        <v>0</v>
      </c>
      <c r="N41" s="23">
        <v>413000</v>
      </c>
      <c r="O41" s="23">
        <v>0</v>
      </c>
    </row>
    <row r="42" spans="2:19" x14ac:dyDescent="0.35">
      <c r="B42" s="17" t="s">
        <v>64</v>
      </c>
      <c r="C42" s="23">
        <v>95000</v>
      </c>
      <c r="D42" s="23">
        <v>95000</v>
      </c>
      <c r="E42" s="23">
        <v>95000</v>
      </c>
      <c r="F42" s="23">
        <v>95000</v>
      </c>
      <c r="G42" s="23">
        <v>95000</v>
      </c>
      <c r="H42" s="23">
        <v>95000</v>
      </c>
      <c r="I42" s="23">
        <v>275000</v>
      </c>
      <c r="J42" s="23">
        <v>95000</v>
      </c>
      <c r="K42" s="23">
        <v>95000</v>
      </c>
      <c r="L42" s="23">
        <v>95000</v>
      </c>
      <c r="M42" s="23">
        <v>95000</v>
      </c>
      <c r="N42" s="23">
        <v>95000</v>
      </c>
      <c r="O42" s="23">
        <v>95000</v>
      </c>
    </row>
    <row r="43" spans="2:19" x14ac:dyDescent="0.35">
      <c r="B43" s="17" t="s">
        <v>65</v>
      </c>
      <c r="C43" s="23">
        <v>0</v>
      </c>
      <c r="D43" s="23">
        <v>0</v>
      </c>
      <c r="E43" s="23">
        <v>240000</v>
      </c>
      <c r="F43" s="23">
        <v>0</v>
      </c>
      <c r="G43" s="23">
        <v>0</v>
      </c>
      <c r="H43" s="23">
        <v>85000</v>
      </c>
      <c r="I43" s="23">
        <v>0</v>
      </c>
      <c r="J43" s="23">
        <v>0</v>
      </c>
      <c r="K43" s="23">
        <v>0</v>
      </c>
      <c r="L43" s="23">
        <v>150000</v>
      </c>
      <c r="M43" s="23">
        <v>0</v>
      </c>
      <c r="N43" s="23">
        <v>0</v>
      </c>
      <c r="O43" s="23">
        <v>0</v>
      </c>
    </row>
    <row r="44" spans="2:19" x14ac:dyDescent="0.35">
      <c r="B44" s="17" t="s">
        <v>66</v>
      </c>
      <c r="C44" s="23">
        <v>21000</v>
      </c>
      <c r="D44" s="23">
        <v>21000</v>
      </c>
      <c r="E44" s="23">
        <v>21000</v>
      </c>
      <c r="F44" s="23">
        <v>21000</v>
      </c>
      <c r="G44" s="23">
        <v>21000</v>
      </c>
      <c r="H44" s="23">
        <v>21000</v>
      </c>
      <c r="I44" s="23">
        <v>21000</v>
      </c>
      <c r="J44" s="23">
        <v>21000</v>
      </c>
      <c r="K44" s="23">
        <v>21000</v>
      </c>
      <c r="L44" s="23">
        <v>21000</v>
      </c>
      <c r="M44" s="23">
        <v>21000</v>
      </c>
      <c r="N44" s="23">
        <v>21000</v>
      </c>
      <c r="O44" s="23">
        <v>21000</v>
      </c>
    </row>
    <row r="45" spans="2:19" x14ac:dyDescent="0.35">
      <c r="B45" s="17" t="s">
        <v>67</v>
      </c>
      <c r="C45" s="23">
        <v>0</v>
      </c>
      <c r="D45" s="23">
        <v>0</v>
      </c>
      <c r="E45" s="23">
        <v>0</v>
      </c>
      <c r="F45" s="23">
        <v>0</v>
      </c>
      <c r="G45" s="23">
        <v>0</v>
      </c>
      <c r="H45" s="23">
        <v>0</v>
      </c>
      <c r="I45" s="23">
        <v>0</v>
      </c>
      <c r="J45" s="23">
        <v>310000</v>
      </c>
      <c r="K45" s="23">
        <v>0</v>
      </c>
      <c r="L45" s="23">
        <v>0</v>
      </c>
      <c r="M45" s="23">
        <v>0</v>
      </c>
      <c r="N45" s="23">
        <v>0</v>
      </c>
      <c r="O45" s="23">
        <v>0</v>
      </c>
    </row>
    <row r="46" spans="2:19" x14ac:dyDescent="0.35">
      <c r="B46" s="17" t="s">
        <v>68</v>
      </c>
      <c r="C46" s="23">
        <v>8000</v>
      </c>
      <c r="D46" s="23">
        <v>8000</v>
      </c>
      <c r="E46" s="23">
        <v>8000</v>
      </c>
      <c r="F46" s="23">
        <v>8000</v>
      </c>
      <c r="G46" s="23">
        <v>8000</v>
      </c>
      <c r="H46" s="23">
        <v>8000</v>
      </c>
      <c r="I46" s="23">
        <v>8000</v>
      </c>
      <c r="J46" s="23">
        <v>8000</v>
      </c>
      <c r="K46" s="23">
        <v>8000</v>
      </c>
      <c r="L46" s="23">
        <v>8000</v>
      </c>
      <c r="M46" s="23">
        <v>8000</v>
      </c>
      <c r="N46" s="23">
        <v>8000</v>
      </c>
      <c r="O46" s="23">
        <v>8000</v>
      </c>
    </row>
    <row r="48" spans="2:19" x14ac:dyDescent="0.35">
      <c r="B48" s="5" t="s">
        <v>69</v>
      </c>
      <c r="C48" s="11"/>
      <c r="D48" s="11"/>
      <c r="E48" s="11"/>
      <c r="F48" s="11"/>
      <c r="G48" s="11"/>
      <c r="H48" s="11"/>
      <c r="I48" s="11"/>
      <c r="J48" s="11"/>
      <c r="K48" s="11"/>
      <c r="L48" s="11"/>
      <c r="M48" s="11"/>
      <c r="N48" s="11"/>
      <c r="O48" s="11"/>
    </row>
    <row r="49" spans="2:2" x14ac:dyDescent="0.35">
      <c r="B49" s="13" t="s">
        <v>70</v>
      </c>
    </row>
    <row r="50" spans="2:2" x14ac:dyDescent="0.35">
      <c r="B50" s="13" t="s">
        <v>71</v>
      </c>
    </row>
    <row r="51" spans="2:2" x14ac:dyDescent="0.35">
      <c r="B51" s="13" t="s">
        <v>72</v>
      </c>
    </row>
  </sheetData>
  <pageMargins left="0.75" right="0.75" top="1" bottom="1"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pageSetUpPr fitToPage="1"/>
  </sheetPr>
  <dimension ref="B1:S7"/>
  <sheetViews>
    <sheetView showGridLines="0" zoomScaleNormal="100" workbookViewId="0">
      <pane xSplit="2" ySplit="5" topLeftCell="C6" activePane="bottomRight" state="frozen"/>
      <selection pane="topRight" activeCell="J1" sqref="J1"/>
      <selection pane="bottomLeft" activeCell="A6" sqref="A6"/>
      <selection pane="bottomRight" activeCell="D12" sqref="D12"/>
    </sheetView>
  </sheetViews>
  <sheetFormatPr defaultColWidth="8.6328125" defaultRowHeight="14.5" x14ac:dyDescent="0.35"/>
  <cols>
    <col min="1" max="1" width="2" customWidth="1"/>
    <col min="2" max="2" width="26" customWidth="1"/>
    <col min="3" max="19" width="12" customWidth="1"/>
  </cols>
  <sheetData>
    <row r="1" spans="2:19" ht="18" customHeight="1" x14ac:dyDescent="0.4">
      <c r="B1" s="15" t="s">
        <v>185</v>
      </c>
    </row>
    <row r="2" spans="2:19" x14ac:dyDescent="0.35">
      <c r="B2" s="13"/>
    </row>
    <row r="3" spans="2:19" x14ac:dyDescent="0.35">
      <c r="B3" s="19" t="s">
        <v>59</v>
      </c>
      <c r="C3" s="19">
        <v>1</v>
      </c>
      <c r="D3" s="19">
        <v>2</v>
      </c>
      <c r="E3" s="19">
        <v>3</v>
      </c>
      <c r="F3" s="19">
        <v>4</v>
      </c>
      <c r="G3" s="19">
        <v>5</v>
      </c>
      <c r="H3" s="19">
        <v>6</v>
      </c>
      <c r="I3" s="19">
        <v>7</v>
      </c>
      <c r="J3" s="19">
        <v>8</v>
      </c>
      <c r="K3" s="19">
        <v>9</v>
      </c>
      <c r="L3" s="19">
        <v>10</v>
      </c>
      <c r="M3" s="19">
        <v>11</v>
      </c>
      <c r="N3" s="19">
        <v>12</v>
      </c>
      <c r="O3" s="19">
        <v>13</v>
      </c>
      <c r="P3" s="19">
        <v>14</v>
      </c>
      <c r="Q3" s="19">
        <v>15</v>
      </c>
      <c r="R3" s="19">
        <v>16</v>
      </c>
      <c r="S3" s="19">
        <v>17</v>
      </c>
    </row>
    <row r="4" spans="2:19" x14ac:dyDescent="0.35">
      <c r="B4" s="19" t="s">
        <v>60</v>
      </c>
      <c r="C4" s="28">
        <f>Assumptions!C35</f>
        <v>46255</v>
      </c>
      <c r="D4" s="28">
        <f>Assumptions!D35</f>
        <v>46262</v>
      </c>
      <c r="E4" s="28">
        <f>Assumptions!E35</f>
        <v>46269</v>
      </c>
      <c r="F4" s="28">
        <f>Assumptions!F35</f>
        <v>46276</v>
      </c>
      <c r="G4" s="28">
        <f>Assumptions!G35</f>
        <v>46283</v>
      </c>
      <c r="H4" s="28">
        <f>Assumptions!H35</f>
        <v>46290</v>
      </c>
      <c r="I4" s="28">
        <f>Assumptions!I35</f>
        <v>46297</v>
      </c>
      <c r="J4" s="28">
        <f>Assumptions!J35</f>
        <v>46304</v>
      </c>
      <c r="K4" s="28">
        <f>Assumptions!K35</f>
        <v>46311</v>
      </c>
      <c r="L4" s="28">
        <f>Assumptions!L35</f>
        <v>46318</v>
      </c>
      <c r="M4" s="28">
        <f>Assumptions!M35</f>
        <v>46325</v>
      </c>
      <c r="N4" s="28">
        <f>Assumptions!N35</f>
        <v>46332</v>
      </c>
      <c r="O4" s="28">
        <f>Assumptions!O35</f>
        <v>46339</v>
      </c>
      <c r="P4" s="28">
        <f>Assumptions!P35</f>
        <v>46346</v>
      </c>
      <c r="Q4" s="28">
        <f>Assumptions!Q35</f>
        <v>46353</v>
      </c>
      <c r="R4" s="28">
        <f>Assumptions!R35</f>
        <v>46360</v>
      </c>
      <c r="S4" s="28">
        <f>Assumptions!S35</f>
        <v>46367</v>
      </c>
    </row>
    <row r="5" spans="2:19" x14ac:dyDescent="0.35">
      <c r="B5" s="19" t="s">
        <v>73</v>
      </c>
      <c r="C5" s="17" t="str">
        <f>IF(C3&lt;=Assumptions!$C$30,"Actual","Forecast")</f>
        <v>Actual</v>
      </c>
      <c r="D5" s="17" t="str">
        <f>IF(D3&lt;=Assumptions!$C$30,"Actual","Forecast")</f>
        <v>Actual</v>
      </c>
      <c r="E5" s="17" t="str">
        <f>IF(E3&lt;=Assumptions!$C$30,"Actual","Forecast")</f>
        <v>Actual</v>
      </c>
      <c r="F5" s="17" t="str">
        <f>IF(F3&lt;=Assumptions!$C$30,"Actual","Forecast")</f>
        <v>Actual</v>
      </c>
      <c r="G5" s="17" t="str">
        <f>IF(G3&lt;=Assumptions!$C$30,"Actual","Forecast")</f>
        <v>Forecast</v>
      </c>
      <c r="H5" s="17" t="str">
        <f>IF(H3&lt;=Assumptions!$C$30,"Actual","Forecast")</f>
        <v>Forecast</v>
      </c>
      <c r="I5" s="17" t="str">
        <f>IF(I3&lt;=Assumptions!$C$30,"Actual","Forecast")</f>
        <v>Forecast</v>
      </c>
      <c r="J5" s="17" t="str">
        <f>IF(J3&lt;=Assumptions!$C$30,"Actual","Forecast")</f>
        <v>Forecast</v>
      </c>
      <c r="K5" s="17" t="str">
        <f>IF(K3&lt;=Assumptions!$C$30,"Actual","Forecast")</f>
        <v>Forecast</v>
      </c>
      <c r="L5" s="17" t="str">
        <f>IF(L3&lt;=Assumptions!$C$30,"Actual","Forecast")</f>
        <v>Forecast</v>
      </c>
      <c r="M5" s="17" t="str">
        <f>IF(M3&lt;=Assumptions!$C$30,"Actual","Forecast")</f>
        <v>Forecast</v>
      </c>
      <c r="N5" s="17" t="str">
        <f>IF(N3&lt;=Assumptions!$C$30,"Actual","Forecast")</f>
        <v>Forecast</v>
      </c>
      <c r="O5" s="17" t="str">
        <f>IF(O3&lt;=Assumptions!$C$30,"Actual","Forecast")</f>
        <v>Forecast</v>
      </c>
      <c r="P5" s="17" t="str">
        <f>IF(P3&lt;=Assumptions!$C$30,"Actual","Forecast")</f>
        <v>Forecast</v>
      </c>
      <c r="Q5" s="17" t="str">
        <f>IF(Q3&lt;=Assumptions!$C$30,"Actual","Forecast")</f>
        <v>Forecast</v>
      </c>
      <c r="R5" s="17" t="str">
        <f>IF(R3&lt;=Assumptions!$C$30,"Actual","Forecast")</f>
        <v>Forecast</v>
      </c>
      <c r="S5" s="17" t="str">
        <f>IF(S3&lt;=Assumptions!$C$30,"Actual","Forecast")</f>
        <v>Forecast</v>
      </c>
    </row>
    <row r="6" spans="2:19" x14ac:dyDescent="0.35">
      <c r="B6" s="19" t="s">
        <v>74</v>
      </c>
      <c r="C6" s="23">
        <v>985000</v>
      </c>
      <c r="D6" s="23">
        <v>1010000</v>
      </c>
      <c r="E6" s="23">
        <v>1045000</v>
      </c>
      <c r="F6" s="23">
        <v>1020000</v>
      </c>
      <c r="G6" s="29">
        <f>Assumptions!$C$23*(1+Assumptions!$C$24)^(G3-1)*Assumptions!G36</f>
        <v>1050439.0650406249</v>
      </c>
      <c r="H6" s="29">
        <f>Assumptions!$C$23*(1+Assumptions!$C$24)^(H3-1)*Assumptions!H36</f>
        <v>1063190.7892676806</v>
      </c>
      <c r="I6" s="29">
        <f>Assumptions!$C$23*(1+Assumptions!$C$24)^(I3-1)*Assumptions!I36</f>
        <v>1075999.7068717147</v>
      </c>
      <c r="J6" s="29">
        <f>Assumptions!$C$23*(1+Assumptions!$C$24)^(J3-1)*Assumptions!J36</f>
        <v>1068513.3881564515</v>
      </c>
      <c r="K6" s="29">
        <f>Assumptions!$C$23*(1+Assumptions!$C$24)^(K3-1)*Assumptions!K36</f>
        <v>1091588.1891816398</v>
      </c>
      <c r="L6" s="29">
        <f>Assumptions!$C$23*(1+Assumptions!$C$24)^(L3-1)*Assumptions!L36</f>
        <v>1063635.3701315678</v>
      </c>
      <c r="M6" s="29">
        <f>Assumptions!$C$23*(1+Assumptions!$C$24)^(M3-1)*Assumptions!M36</f>
        <v>1004777.4705632295</v>
      </c>
      <c r="N6" s="29">
        <f>Assumptions!$C$23*(1+Assumptions!$C$24)^(N3-1)*Assumptions!N36</f>
        <v>955897.09718659474</v>
      </c>
      <c r="O6" s="29">
        <f>Assumptions!$C$23*(1+Assumptions!$C$24)^(O3-1)*Assumptions!O36</f>
        <v>906766.04208388587</v>
      </c>
      <c r="P6" s="29">
        <f>Assumptions!$C$23*(1+Assumptions!$C$24)^(P3-1)*Assumptions!P36</f>
        <v>826393.59744463256</v>
      </c>
      <c r="Q6" s="29">
        <f>Assumptions!$C$23*(1+Assumptions!$C$24)^(Q3-1)*Assumptions!Q36</f>
        <v>642056.17561463895</v>
      </c>
      <c r="R6" s="29">
        <f>Assumptions!$C$23*(1+Assumptions!$C$24)^(R3-1)*Assumptions!R36</f>
        <v>851293.99865163525</v>
      </c>
      <c r="S6" s="29">
        <f>Assumptions!$C$23*(1+Assumptions!$C$24)^(S3-1)*Assumptions!S36</f>
        <v>780569.11614170531</v>
      </c>
    </row>
    <row r="7" spans="2:19" x14ac:dyDescent="0.35">
      <c r="B7" s="19" t="s">
        <v>75</v>
      </c>
      <c r="C7" s="23">
        <v>610000</v>
      </c>
      <c r="D7" s="23">
        <v>640000</v>
      </c>
      <c r="E7" s="23">
        <v>615000</v>
      </c>
      <c r="F7" s="23">
        <v>655000</v>
      </c>
      <c r="G7" s="30">
        <f>G6*Assumptions!$C$25</f>
        <v>651272.22032518743</v>
      </c>
      <c r="H7" s="30">
        <f>H6*Assumptions!$C$25</f>
        <v>659178.289345962</v>
      </c>
      <c r="I7" s="30">
        <f>I6*Assumptions!$C$25</f>
        <v>667119.81826046307</v>
      </c>
      <c r="J7" s="30">
        <f>J6*Assumptions!$C$25</f>
        <v>662478.30065699993</v>
      </c>
      <c r="K7" s="30">
        <f>K6*Assumptions!$C$25</f>
        <v>676784.67729261669</v>
      </c>
      <c r="L7" s="30">
        <f>L6*Assumptions!$C$25</f>
        <v>659453.92948157201</v>
      </c>
      <c r="M7" s="30">
        <f>M6*Assumptions!$C$25</f>
        <v>622962.03174920229</v>
      </c>
      <c r="N7" s="30">
        <f>N6*Assumptions!$C$25</f>
        <v>592656.20025568875</v>
      </c>
      <c r="O7" s="30">
        <f>O6*Assumptions!$C$25</f>
        <v>562194.9460920092</v>
      </c>
      <c r="P7" s="30">
        <f>P6*Assumptions!$C$25</f>
        <v>512364.03041567217</v>
      </c>
      <c r="Q7" s="30">
        <f>Q6*Assumptions!$C$25</f>
        <v>398074.82888107613</v>
      </c>
      <c r="R7" s="30">
        <f>R6*Assumptions!$C$25</f>
        <v>527802.2791640138</v>
      </c>
      <c r="S7" s="30">
        <f>S6*Assumptions!$C$25</f>
        <v>483952.85200785729</v>
      </c>
    </row>
  </sheetData>
  <pageMargins left="0.75" right="0.75" top="1" bottom="1"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235"/>
    <pageSetUpPr fitToPage="1"/>
  </sheetPr>
  <dimension ref="B1:F19"/>
  <sheetViews>
    <sheetView showGridLines="0" zoomScaleNormal="100" workbookViewId="0">
      <pane xSplit="2" ySplit="4" topLeftCell="C5" activePane="bottomRight" state="frozen"/>
      <selection pane="topRight" activeCell="C1" sqref="C1"/>
      <selection pane="bottomLeft" activeCell="A6" sqref="A6"/>
      <selection pane="bottomRight"/>
    </sheetView>
  </sheetViews>
  <sheetFormatPr defaultColWidth="8.6328125" defaultRowHeight="14.5" x14ac:dyDescent="0.35"/>
  <cols>
    <col min="1" max="1" width="2" customWidth="1"/>
    <col min="2" max="2" width="30" customWidth="1"/>
    <col min="3" max="6" width="13" customWidth="1"/>
  </cols>
  <sheetData>
    <row r="1" spans="2:6" ht="18" customHeight="1" x14ac:dyDescent="0.4">
      <c r="B1" s="15" t="s">
        <v>165</v>
      </c>
    </row>
    <row r="2" spans="2:6" x14ac:dyDescent="0.35">
      <c r="B2" s="17" t="s">
        <v>59</v>
      </c>
      <c r="C2" s="19">
        <v>1</v>
      </c>
      <c r="D2" s="19">
        <v>2</v>
      </c>
      <c r="E2" s="19">
        <v>3</v>
      </c>
      <c r="F2" s="19">
        <v>4</v>
      </c>
    </row>
    <row r="3" spans="2:6" x14ac:dyDescent="0.35">
      <c r="B3" s="17" t="s">
        <v>60</v>
      </c>
      <c r="C3" s="28">
        <f>'Driver Build'!C4</f>
        <v>46255</v>
      </c>
      <c r="D3" s="28">
        <f>'Driver Build'!D4</f>
        <v>46262</v>
      </c>
      <c r="E3" s="28">
        <f>'Driver Build'!E4</f>
        <v>46269</v>
      </c>
      <c r="F3" s="28">
        <f>'Driver Build'!F4</f>
        <v>46276</v>
      </c>
    </row>
    <row r="5" spans="2:6" x14ac:dyDescent="0.35">
      <c r="B5" s="17" t="s">
        <v>76</v>
      </c>
      <c r="C5" s="31">
        <f>Assumptions!$C$29</f>
        <v>2850000</v>
      </c>
      <c r="D5" s="30">
        <f>C19</f>
        <v>3069000</v>
      </c>
      <c r="E5" s="30">
        <f>D19</f>
        <v>2977000</v>
      </c>
      <c r="F5" s="30">
        <f>E19</f>
        <v>3372000</v>
      </c>
    </row>
    <row r="6" spans="2:6" x14ac:dyDescent="0.35">
      <c r="B6" s="17" t="s">
        <v>77</v>
      </c>
      <c r="C6" s="23">
        <v>905000</v>
      </c>
      <c r="D6" s="23">
        <v>935000</v>
      </c>
      <c r="E6" s="23">
        <v>1142000</v>
      </c>
      <c r="F6" s="23">
        <v>968000</v>
      </c>
    </row>
    <row r="7" spans="2:6" x14ac:dyDescent="0.35">
      <c r="B7" s="17" t="s">
        <v>78</v>
      </c>
      <c r="C7" s="23">
        <v>8000</v>
      </c>
      <c r="D7" s="23">
        <v>8000</v>
      </c>
      <c r="E7" s="23">
        <v>8000</v>
      </c>
      <c r="F7" s="23">
        <v>8000</v>
      </c>
    </row>
    <row r="8" spans="2:6" x14ac:dyDescent="0.35">
      <c r="B8" s="19" t="s">
        <v>79</v>
      </c>
      <c r="C8" s="32">
        <f>SUM(C6:C7)</f>
        <v>913000</v>
      </c>
      <c r="D8" s="32">
        <f>SUM(D6:D7)</f>
        <v>943000</v>
      </c>
      <c r="E8" s="32">
        <f>SUM(E6:E7)</f>
        <v>1150000</v>
      </c>
      <c r="F8" s="32">
        <f>SUM(F6:F7)</f>
        <v>976000</v>
      </c>
    </row>
    <row r="10" spans="2:6" x14ac:dyDescent="0.35">
      <c r="B10" s="17" t="s">
        <v>80</v>
      </c>
      <c r="C10" s="23">
        <v>580000</v>
      </c>
      <c r="D10" s="23">
        <v>605000</v>
      </c>
      <c r="E10" s="23">
        <v>598000</v>
      </c>
      <c r="F10" s="23">
        <v>642000</v>
      </c>
    </row>
    <row r="11" spans="2:6" x14ac:dyDescent="0.35">
      <c r="B11" s="17" t="s">
        <v>63</v>
      </c>
      <c r="C11" s="23">
        <v>0</v>
      </c>
      <c r="D11" s="23">
        <v>315000</v>
      </c>
      <c r="E11" s="23">
        <v>0</v>
      </c>
      <c r="F11" s="23">
        <v>322000</v>
      </c>
    </row>
    <row r="12" spans="2:6" x14ac:dyDescent="0.35">
      <c r="B12" s="17" t="s">
        <v>81</v>
      </c>
      <c r="C12" s="23">
        <v>93000</v>
      </c>
      <c r="D12" s="23">
        <v>94000</v>
      </c>
      <c r="E12" s="23">
        <v>91000</v>
      </c>
      <c r="F12" s="23">
        <v>96000</v>
      </c>
    </row>
    <row r="13" spans="2:6" x14ac:dyDescent="0.35">
      <c r="B13" s="17" t="s">
        <v>82</v>
      </c>
      <c r="C13" s="23">
        <v>0</v>
      </c>
      <c r="D13" s="23">
        <v>0</v>
      </c>
      <c r="E13" s="23">
        <v>45000</v>
      </c>
      <c r="F13" s="23">
        <v>0</v>
      </c>
    </row>
    <row r="14" spans="2:6" x14ac:dyDescent="0.35">
      <c r="B14" s="17" t="s">
        <v>83</v>
      </c>
      <c r="C14" s="23">
        <v>21000</v>
      </c>
      <c r="D14" s="23">
        <v>21000</v>
      </c>
      <c r="E14" s="23">
        <v>21000</v>
      </c>
      <c r="F14" s="23">
        <v>21000</v>
      </c>
    </row>
    <row r="15" spans="2:6" x14ac:dyDescent="0.35">
      <c r="B15" s="17" t="s">
        <v>84</v>
      </c>
      <c r="C15" s="23">
        <v>0</v>
      </c>
      <c r="D15" s="23">
        <v>0</v>
      </c>
      <c r="E15" s="23">
        <v>0</v>
      </c>
      <c r="F15" s="23">
        <v>0</v>
      </c>
    </row>
    <row r="16" spans="2:6" x14ac:dyDescent="0.35">
      <c r="B16" s="19" t="s">
        <v>85</v>
      </c>
      <c r="C16" s="32">
        <f>SUM(C10:C15)</f>
        <v>694000</v>
      </c>
      <c r="D16" s="32">
        <f>SUM(D10:D15)</f>
        <v>1035000</v>
      </c>
      <c r="E16" s="32">
        <f>SUM(E10:E15)</f>
        <v>755000</v>
      </c>
      <c r="F16" s="32">
        <f>SUM(F10:F15)</f>
        <v>1081000</v>
      </c>
    </row>
    <row r="18" spans="2:6" x14ac:dyDescent="0.35">
      <c r="B18" s="19" t="s">
        <v>86</v>
      </c>
      <c r="C18" s="32">
        <f>C8-C16</f>
        <v>219000</v>
      </c>
      <c r="D18" s="32">
        <f>D8-D16</f>
        <v>-92000</v>
      </c>
      <c r="E18" s="32">
        <f>E8-E16</f>
        <v>395000</v>
      </c>
      <c r="F18" s="32">
        <f>F8-F16</f>
        <v>-105000</v>
      </c>
    </row>
    <row r="19" spans="2:6" x14ac:dyDescent="0.35">
      <c r="B19" s="19" t="s">
        <v>87</v>
      </c>
      <c r="C19" s="32">
        <f>C5+C18</f>
        <v>3069000</v>
      </c>
      <c r="D19" s="32">
        <f>D5+D18</f>
        <v>2977000</v>
      </c>
      <c r="E19" s="32">
        <f>E5+E18</f>
        <v>3372000</v>
      </c>
      <c r="F19" s="32">
        <f>F5+F18</f>
        <v>3267000</v>
      </c>
    </row>
  </sheetData>
  <pageMargins left="0.75" right="0.75" top="1" bottom="1"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F8F00"/>
    <pageSetUpPr fitToPage="1"/>
  </sheetPr>
  <dimension ref="B1:O22"/>
  <sheetViews>
    <sheetView showGridLines="0" zoomScaleNormal="100" workbookViewId="0">
      <pane xSplit="2" ySplit="4" topLeftCell="C5" activePane="bottomRight" state="frozen"/>
      <selection pane="topRight" activeCell="C1" sqref="C1"/>
      <selection pane="bottomLeft" activeCell="A6" sqref="A6"/>
      <selection pane="bottomRight"/>
    </sheetView>
  </sheetViews>
  <sheetFormatPr defaultColWidth="8.6328125" defaultRowHeight="14.5" x14ac:dyDescent="0.35"/>
  <cols>
    <col min="1" max="1" width="2" customWidth="1"/>
    <col min="2" max="2" width="30" customWidth="1"/>
    <col min="3" max="15" width="12" customWidth="1"/>
  </cols>
  <sheetData>
    <row r="1" spans="2:15" ht="18" customHeight="1" x14ac:dyDescent="0.4">
      <c r="B1" s="15" t="s">
        <v>184</v>
      </c>
    </row>
    <row r="2" spans="2:15" x14ac:dyDescent="0.35">
      <c r="B2" s="19" t="s">
        <v>59</v>
      </c>
      <c r="C2" s="19">
        <v>5</v>
      </c>
      <c r="D2" s="19">
        <v>6</v>
      </c>
      <c r="E2" s="19">
        <v>7</v>
      </c>
      <c r="F2" s="19">
        <v>8</v>
      </c>
      <c r="G2" s="19">
        <v>9</v>
      </c>
      <c r="H2" s="19">
        <v>10</v>
      </c>
      <c r="I2" s="19">
        <v>11</v>
      </c>
      <c r="J2" s="19">
        <v>12</v>
      </c>
      <c r="K2" s="19">
        <v>13</v>
      </c>
      <c r="L2" s="19">
        <v>14</v>
      </c>
      <c r="M2" s="19">
        <v>15</v>
      </c>
      <c r="N2" s="19">
        <v>16</v>
      </c>
      <c r="O2" s="19">
        <v>17</v>
      </c>
    </row>
    <row r="3" spans="2:15" x14ac:dyDescent="0.35">
      <c r="B3" s="19" t="s">
        <v>60</v>
      </c>
      <c r="C3" s="28">
        <f>'Driver Build'!G4</f>
        <v>46283</v>
      </c>
      <c r="D3" s="28">
        <f>'Driver Build'!H4</f>
        <v>46290</v>
      </c>
      <c r="E3" s="28">
        <f>'Driver Build'!I4</f>
        <v>46297</v>
      </c>
      <c r="F3" s="28">
        <f>'Driver Build'!J4</f>
        <v>46304</v>
      </c>
      <c r="G3" s="28">
        <f>'Driver Build'!K4</f>
        <v>46311</v>
      </c>
      <c r="H3" s="28">
        <f>'Driver Build'!L4</f>
        <v>46318</v>
      </c>
      <c r="I3" s="28">
        <f>'Driver Build'!M4</f>
        <v>46325</v>
      </c>
      <c r="J3" s="28">
        <f>'Driver Build'!N4</f>
        <v>46332</v>
      </c>
      <c r="K3" s="28">
        <f>'Driver Build'!O4</f>
        <v>46339</v>
      </c>
      <c r="L3" s="28">
        <f>'Driver Build'!P4</f>
        <v>46346</v>
      </c>
      <c r="M3" s="28">
        <f>'Driver Build'!Q4</f>
        <v>46353</v>
      </c>
      <c r="N3" s="28">
        <f>'Driver Build'!R4</f>
        <v>46360</v>
      </c>
      <c r="O3" s="28">
        <f>'Driver Build'!S4</f>
        <v>46367</v>
      </c>
    </row>
    <row r="5" spans="2:15" x14ac:dyDescent="0.35">
      <c r="B5" s="17" t="s">
        <v>76</v>
      </c>
      <c r="C5" s="31">
        <f>Actuals!$F$19</f>
        <v>3267000</v>
      </c>
      <c r="D5" s="30">
        <f t="shared" ref="D5:O5" si="0">C19</f>
        <v>3531721.5141869904</v>
      </c>
      <c r="E5" s="30">
        <f t="shared" si="0"/>
        <v>3482525.8728611004</v>
      </c>
      <c r="F5" s="30">
        <f t="shared" si="0"/>
        <v>3513972.4537552232</v>
      </c>
      <c r="G5" s="30">
        <f t="shared" si="0"/>
        <v>3471299.5323485453</v>
      </c>
      <c r="H5" s="30">
        <f t="shared" si="0"/>
        <v>3749326.4791802992</v>
      </c>
      <c r="I5" s="30">
        <f t="shared" si="0"/>
        <v>3628213.0892061563</v>
      </c>
      <c r="J5" s="30">
        <f t="shared" si="0"/>
        <v>3722143.3227477511</v>
      </c>
      <c r="K5" s="30">
        <f t="shared" si="0"/>
        <v>3348934.3965466479</v>
      </c>
      <c r="L5" s="30">
        <f t="shared" si="0"/>
        <v>3586448.0206453083</v>
      </c>
      <c r="M5" s="30">
        <f t="shared" si="0"/>
        <v>3337296.2675288431</v>
      </c>
      <c r="N5" s="30">
        <f t="shared" si="0"/>
        <v>3523967.7466717772</v>
      </c>
      <c r="O5" s="30">
        <f t="shared" si="0"/>
        <v>3257387.6595219369</v>
      </c>
    </row>
    <row r="6" spans="2:15" x14ac:dyDescent="0.35">
      <c r="B6" s="17" t="s">
        <v>77</v>
      </c>
      <c r="C6" s="29">
        <f>'Driver Build'!G$6*Assumptions!$C$5+'Driver Build'!F$6*Assumptions!$C$6+'Driver Build'!E$6*Assumptions!$C$7+'Driver Build'!D$6*Assumptions!$C$8+'Driver Build'!C$6*Assumptions!$C$9</f>
        <v>1004535.12520325</v>
      </c>
      <c r="D6" s="29">
        <f>'Driver Build'!H$6*Assumptions!$C$5+'Driver Build'!G$6*Assumptions!$C$6+'Driver Build'!F$6*Assumptions!$C$7+'Driver Build'!E$6*Assumptions!$C$8+'Driver Build'!D$6*Assumptions!$C$9</f>
        <v>1017767.7172064456</v>
      </c>
      <c r="E6" s="29">
        <f>'Driver Build'!I$6*Assumptions!$C$5+'Driver Build'!H$6*Assumptions!$C$6+'Driver Build'!G$6*Assumptions!$C$7+'Driver Build'!F$6*Assumptions!$C$8+'Driver Build'!E$6*Assumptions!$C$9</f>
        <v>1030583.506790154</v>
      </c>
      <c r="F6" s="29">
        <f>'Driver Build'!J$6*Assumptions!$C$5+'Driver Build'!I$6*Assumptions!$C$6+'Driver Build'!H$6*Assumptions!$C$7+'Driver Build'!G$6*Assumptions!$C$8+'Driver Build'!F$6*Assumptions!$C$9</f>
        <v>1041469.0246469073</v>
      </c>
      <c r="G6" s="29">
        <f>'Driver Build'!K$6*Assumptions!$C$5+'Driver Build'!J$6*Assumptions!$C$6+'Driver Build'!I$6*Assumptions!$C$7+'Driver Build'!H$6*Assumptions!$C$8+'Driver Build'!G$6*Assumptions!$C$9</f>
        <v>1048734.486055254</v>
      </c>
      <c r="H6" s="29">
        <f>'Driver Build'!L$6*Assumptions!$C$5+'Driver Build'!K$6*Assumptions!$C$6+'Driver Build'!J$6*Assumptions!$C$7+'Driver Build'!I$6*Assumptions!$C$8+'Driver Build'!H$6*Assumptions!$C$9</f>
        <v>1056137.4216011444</v>
      </c>
      <c r="I6" s="29">
        <f>'Driver Build'!M$6*Assumptions!$C$5+'Driver Build'!L$6*Assumptions!$C$6+'Driver Build'!K$6*Assumptions!$C$7+'Driver Build'!J$6*Assumptions!$C$8+'Driver Build'!I$6*Assumptions!$C$9</f>
        <v>1047299.2301009316</v>
      </c>
      <c r="J6" s="29">
        <f>'Driver Build'!N$6*Assumptions!$C$5+'Driver Build'!M$6*Assumptions!$C$6+'Driver Build'!L$6*Assumptions!$C$7+'Driver Build'!K$6*Assumptions!$C$8+'Driver Build'!J$6*Assumptions!$C$9</f>
        <v>1017108.3987335565</v>
      </c>
      <c r="K6" s="29">
        <f>'Driver Build'!O$6*Assumptions!$C$5+'Driver Build'!N$6*Assumptions!$C$6+'Driver Build'!M$6*Assumptions!$C$7+'Driver Build'!L$6*Assumptions!$C$8+'Driver Build'!K$6*Assumptions!$C$9</f>
        <v>975705.96914035291</v>
      </c>
      <c r="L6" s="29">
        <f>'Driver Build'!P$6*Assumptions!$C$5+'Driver Build'!O$6*Assumptions!$C$6+'Driver Build'!N$6*Assumptions!$C$7+'Driver Build'!M$6*Assumptions!$C$8+'Driver Build'!L$6*Assumptions!$C$9</f>
        <v>925169.11018512922</v>
      </c>
      <c r="M6" s="29">
        <f>'Driver Build'!Q$6*Assumptions!$C$5+'Driver Build'!P$6*Assumptions!$C$6+'Driver Build'!O$6*Assumptions!$C$7+'Driver Build'!N$6*Assumptions!$C$8+'Driver Build'!M$6*Assumptions!$C$9</f>
        <v>853909.32105395268</v>
      </c>
      <c r="N6" s="29">
        <f>'Driver Build'!R$6*Assumptions!$C$5+'Driver Build'!Q$6*Assumptions!$C$6+'Driver Build'!P$6*Assumptions!$C$7+'Driver Build'!O$6*Assumptions!$C$8+'Driver Build'!N$6*Assumptions!$C$9</f>
        <v>767676.50708323251</v>
      </c>
      <c r="O6" s="29">
        <f>'Driver Build'!S$6*Assumptions!$C$5+'Driver Build'!R$6*Assumptions!$C$6+'Driver Build'!Q$6*Assumptions!$C$7+'Driver Build'!P$6*Assumptions!$C$8+'Driver Build'!O$6*Assumptions!$C$9</f>
        <v>770228.23289683869</v>
      </c>
    </row>
    <row r="7" spans="2:15" x14ac:dyDescent="0.35">
      <c r="B7" s="17" t="s">
        <v>78</v>
      </c>
      <c r="C7" s="31">
        <f>Assumptions!C46</f>
        <v>8000</v>
      </c>
      <c r="D7" s="31">
        <f>Assumptions!D46</f>
        <v>8000</v>
      </c>
      <c r="E7" s="31">
        <f>Assumptions!E46</f>
        <v>8000</v>
      </c>
      <c r="F7" s="31">
        <f>Assumptions!F46</f>
        <v>8000</v>
      </c>
      <c r="G7" s="31">
        <f>Assumptions!G46</f>
        <v>8000</v>
      </c>
      <c r="H7" s="31">
        <f>Assumptions!H46</f>
        <v>8000</v>
      </c>
      <c r="I7" s="31">
        <f>Assumptions!I46</f>
        <v>8000</v>
      </c>
      <c r="J7" s="31">
        <f>Assumptions!J46</f>
        <v>8000</v>
      </c>
      <c r="K7" s="31">
        <f>Assumptions!K46</f>
        <v>8000</v>
      </c>
      <c r="L7" s="31">
        <f>Assumptions!L46</f>
        <v>8000</v>
      </c>
      <c r="M7" s="31">
        <f>Assumptions!M46</f>
        <v>8000</v>
      </c>
      <c r="N7" s="31">
        <f>Assumptions!N46</f>
        <v>8000</v>
      </c>
      <c r="O7" s="31">
        <f>Assumptions!O46</f>
        <v>8000</v>
      </c>
    </row>
    <row r="8" spans="2:15" x14ac:dyDescent="0.35">
      <c r="B8" s="19" t="s">
        <v>79</v>
      </c>
      <c r="C8" s="32">
        <f t="shared" ref="C8:O8" si="1">SUM(C6:C7)</f>
        <v>1012535.12520325</v>
      </c>
      <c r="D8" s="32">
        <f t="shared" si="1"/>
        <v>1025767.7172064456</v>
      </c>
      <c r="E8" s="32">
        <f t="shared" si="1"/>
        <v>1038583.506790154</v>
      </c>
      <c r="F8" s="32">
        <f t="shared" si="1"/>
        <v>1049469.0246469073</v>
      </c>
      <c r="G8" s="32">
        <f t="shared" si="1"/>
        <v>1056734.486055254</v>
      </c>
      <c r="H8" s="32">
        <f t="shared" si="1"/>
        <v>1064137.4216011444</v>
      </c>
      <c r="I8" s="32">
        <f t="shared" si="1"/>
        <v>1055299.2301009316</v>
      </c>
      <c r="J8" s="32">
        <f t="shared" si="1"/>
        <v>1025108.3987335565</v>
      </c>
      <c r="K8" s="32">
        <f t="shared" si="1"/>
        <v>983705.96914035291</v>
      </c>
      <c r="L8" s="32">
        <f t="shared" si="1"/>
        <v>933169.11018512922</v>
      </c>
      <c r="M8" s="32">
        <f t="shared" si="1"/>
        <v>861909.32105395268</v>
      </c>
      <c r="N8" s="32">
        <f t="shared" si="1"/>
        <v>775676.50708323251</v>
      </c>
      <c r="O8" s="32">
        <f t="shared" si="1"/>
        <v>778228.23289683869</v>
      </c>
    </row>
    <row r="10" spans="2:15" x14ac:dyDescent="0.35">
      <c r="B10" s="17" t="s">
        <v>80</v>
      </c>
      <c r="C10" s="29">
        <f>'Driver Build'!G$7*Assumptions!$C$15+'Driver Build'!F$7*Assumptions!$C$16+'Driver Build'!E$7*Assumptions!$C$17+'Driver Build'!D$7*Assumptions!$C$18+'Driver Build'!C$7*Assumptions!$C$19</f>
        <v>631813.61101625941</v>
      </c>
      <c r="D10" s="29">
        <f>'Driver Build'!H$7*Assumptions!$C$15+'Driver Build'!G$7*Assumptions!$C$16+'Driver Build'!F$7*Assumptions!$C$17+'Driver Build'!E$7*Assumptions!$C$18+'Driver Build'!D$7*Assumptions!$C$19</f>
        <v>640963.35853233561</v>
      </c>
      <c r="E10" s="29">
        <f>'Driver Build'!I$7*Assumptions!$C$15+'Driver Build'!H$7*Assumptions!$C$16+'Driver Build'!G$7*Assumptions!$C$17+'Driver Build'!F$7*Assumptions!$C$18+'Driver Build'!E$7*Assumptions!$C$19</f>
        <v>651136.92589603108</v>
      </c>
      <c r="F10" s="29">
        <f>'Driver Build'!J$7*Assumptions!$C$15+'Driver Build'!I$7*Assumptions!$C$16+'Driver Build'!H$7*Assumptions!$C$17+'Driver Build'!G$7*Assumptions!$C$18+'Driver Build'!F$7*Assumptions!$C$19</f>
        <v>658141.9460535855</v>
      </c>
      <c r="G10" s="29">
        <f>'Driver Build'!K$7*Assumptions!$C$15+'Driver Build'!J$7*Assumptions!$C$16+'Driver Build'!I$7*Assumptions!$C$17+'Driver Build'!H$7*Assumptions!$C$18+'Driver Build'!G$7*Assumptions!$C$19</f>
        <v>662707.53922350018</v>
      </c>
      <c r="H10" s="29">
        <f>'Driver Build'!L$7*Assumptions!$C$15+'Driver Build'!K$7*Assumptions!$C$16+'Driver Build'!J$7*Assumptions!$C$17+'Driver Build'!I$7*Assumptions!$C$18+'Driver Build'!H$7*Assumptions!$C$19</f>
        <v>666250.81157528702</v>
      </c>
      <c r="I10" s="29">
        <f>'Driver Build'!M$7*Assumptions!$C$15+'Driver Build'!L$7*Assumptions!$C$16+'Driver Build'!K$7*Assumptions!$C$17+'Driver Build'!J$7*Assumptions!$C$18+'Driver Build'!I$7*Assumptions!$C$19</f>
        <v>665368.99655933655</v>
      </c>
      <c r="J10" s="29">
        <f>'Driver Build'!N$7*Assumptions!$C$15+'Driver Build'!M$7*Assumptions!$C$16+'Driver Build'!L$7*Assumptions!$C$17+'Driver Build'!K$7*Assumptions!$C$18+'Driver Build'!J$7*Assumptions!$C$19</f>
        <v>654317.32493465999</v>
      </c>
      <c r="K10" s="29">
        <f>'Driver Build'!O$7*Assumptions!$C$15+'Driver Build'!N$7*Assumptions!$C$16+'Driver Build'!M$7*Assumptions!$C$17+'Driver Build'!L$7*Assumptions!$C$18+'Driver Build'!K$7*Assumptions!$C$19</f>
        <v>630192.34504169226</v>
      </c>
      <c r="L10" s="29">
        <f>'Driver Build'!P$7*Assumptions!$C$15+'Driver Build'!O$7*Assumptions!$C$16+'Driver Build'!N$7*Assumptions!$C$17+'Driver Build'!M$7*Assumptions!$C$18+'Driver Build'!L$7*Assumptions!$C$19</f>
        <v>598320.86330159428</v>
      </c>
      <c r="M10" s="29">
        <f>'Driver Build'!Q$7*Assumptions!$C$15+'Driver Build'!P$7*Assumptions!$C$16+'Driver Build'!O$7*Assumptions!$C$17+'Driver Build'!N$7*Assumptions!$C$18+'Driver Build'!M$7*Assumptions!$C$19</f>
        <v>559237.84191101836</v>
      </c>
      <c r="N10" s="29">
        <f>'Driver Build'!R$7*Assumptions!$C$15+'Driver Build'!Q$7*Assumptions!$C$16+'Driver Build'!P$7*Assumptions!$C$17+'Driver Build'!O$7*Assumptions!$C$18+'Driver Build'!N$7*Assumptions!$C$19</f>
        <v>513256.59423307277</v>
      </c>
      <c r="O10" s="29">
        <f>'Driver Build'!S$7*Assumptions!$C$15+'Driver Build'!R$7*Assumptions!$C$16+'Driver Build'!Q$7*Assumptions!$C$17+'Driver Build'!P$7*Assumptions!$C$18+'Driver Build'!O$7*Assumptions!$C$19</f>
        <v>479012.99227547488</v>
      </c>
    </row>
    <row r="11" spans="2:15" x14ac:dyDescent="0.35">
      <c r="B11" s="17" t="s">
        <v>63</v>
      </c>
      <c r="C11" s="31">
        <f>Assumptions!C41</f>
        <v>0</v>
      </c>
      <c r="D11" s="31">
        <f>Assumptions!D41</f>
        <v>318000</v>
      </c>
      <c r="E11" s="31">
        <f>Assumptions!E41</f>
        <v>0</v>
      </c>
      <c r="F11" s="31">
        <f>Assumptions!F41</f>
        <v>318000</v>
      </c>
      <c r="G11" s="31">
        <f>Assumptions!G41</f>
        <v>0</v>
      </c>
      <c r="H11" s="31">
        <f>Assumptions!H41</f>
        <v>318000</v>
      </c>
      <c r="I11" s="31">
        <f>Assumptions!I41</f>
        <v>0</v>
      </c>
      <c r="J11" s="31">
        <f>Assumptions!J41</f>
        <v>318000</v>
      </c>
      <c r="K11" s="31">
        <f>Assumptions!K41</f>
        <v>0</v>
      </c>
      <c r="L11" s="31">
        <f>Assumptions!L41</f>
        <v>318000</v>
      </c>
      <c r="M11" s="31">
        <f>Assumptions!M41</f>
        <v>0</v>
      </c>
      <c r="N11" s="31">
        <f>Assumptions!N41</f>
        <v>413000</v>
      </c>
      <c r="O11" s="31">
        <f>Assumptions!O41</f>
        <v>0</v>
      </c>
    </row>
    <row r="12" spans="2:15" x14ac:dyDescent="0.35">
      <c r="B12" s="17" t="s">
        <v>81</v>
      </c>
      <c r="C12" s="31">
        <f>Assumptions!C42</f>
        <v>95000</v>
      </c>
      <c r="D12" s="31">
        <f>Assumptions!D42</f>
        <v>95000</v>
      </c>
      <c r="E12" s="31">
        <f>Assumptions!E42</f>
        <v>95000</v>
      </c>
      <c r="F12" s="31">
        <f>Assumptions!F42</f>
        <v>95000</v>
      </c>
      <c r="G12" s="31">
        <f>Assumptions!G42</f>
        <v>95000</v>
      </c>
      <c r="H12" s="31">
        <f>Assumptions!H42</f>
        <v>95000</v>
      </c>
      <c r="I12" s="31">
        <f>Assumptions!I42</f>
        <v>275000</v>
      </c>
      <c r="J12" s="31">
        <f>Assumptions!J42</f>
        <v>95000</v>
      </c>
      <c r="K12" s="31">
        <f>Assumptions!K42</f>
        <v>95000</v>
      </c>
      <c r="L12" s="31">
        <f>Assumptions!L42</f>
        <v>95000</v>
      </c>
      <c r="M12" s="31">
        <f>Assumptions!M42</f>
        <v>95000</v>
      </c>
      <c r="N12" s="31">
        <f>Assumptions!N42</f>
        <v>95000</v>
      </c>
      <c r="O12" s="31">
        <f>Assumptions!O42</f>
        <v>95000</v>
      </c>
    </row>
    <row r="13" spans="2:15" x14ac:dyDescent="0.35">
      <c r="B13" s="17" t="s">
        <v>82</v>
      </c>
      <c r="C13" s="31">
        <f>Assumptions!C43</f>
        <v>0</v>
      </c>
      <c r="D13" s="31">
        <f>Assumptions!D43</f>
        <v>0</v>
      </c>
      <c r="E13" s="31">
        <f>Assumptions!E43</f>
        <v>240000</v>
      </c>
      <c r="F13" s="31">
        <f>Assumptions!F43</f>
        <v>0</v>
      </c>
      <c r="G13" s="31">
        <f>Assumptions!G43</f>
        <v>0</v>
      </c>
      <c r="H13" s="31">
        <f>Assumptions!H43</f>
        <v>85000</v>
      </c>
      <c r="I13" s="31">
        <f>Assumptions!I43</f>
        <v>0</v>
      </c>
      <c r="J13" s="31">
        <f>Assumptions!J43</f>
        <v>0</v>
      </c>
      <c r="K13" s="31">
        <f>Assumptions!K43</f>
        <v>0</v>
      </c>
      <c r="L13" s="31">
        <f>Assumptions!L43</f>
        <v>150000</v>
      </c>
      <c r="M13" s="31">
        <f>Assumptions!M43</f>
        <v>0</v>
      </c>
      <c r="N13" s="31">
        <f>Assumptions!N43</f>
        <v>0</v>
      </c>
      <c r="O13" s="31">
        <f>Assumptions!O43</f>
        <v>0</v>
      </c>
    </row>
    <row r="14" spans="2:15" x14ac:dyDescent="0.35">
      <c r="B14" s="17" t="s">
        <v>83</v>
      </c>
      <c r="C14" s="31">
        <f>Assumptions!C44</f>
        <v>21000</v>
      </c>
      <c r="D14" s="31">
        <f>Assumptions!D44</f>
        <v>21000</v>
      </c>
      <c r="E14" s="31">
        <f>Assumptions!E44</f>
        <v>21000</v>
      </c>
      <c r="F14" s="31">
        <f>Assumptions!F44</f>
        <v>21000</v>
      </c>
      <c r="G14" s="31">
        <f>Assumptions!G44</f>
        <v>21000</v>
      </c>
      <c r="H14" s="31">
        <f>Assumptions!H44</f>
        <v>21000</v>
      </c>
      <c r="I14" s="31">
        <f>Assumptions!I44</f>
        <v>21000</v>
      </c>
      <c r="J14" s="31">
        <f>Assumptions!J44</f>
        <v>21000</v>
      </c>
      <c r="K14" s="31">
        <f>Assumptions!K44</f>
        <v>21000</v>
      </c>
      <c r="L14" s="31">
        <f>Assumptions!L44</f>
        <v>21000</v>
      </c>
      <c r="M14" s="31">
        <f>Assumptions!M44</f>
        <v>21000</v>
      </c>
      <c r="N14" s="31">
        <f>Assumptions!N44</f>
        <v>21000</v>
      </c>
      <c r="O14" s="31">
        <f>Assumptions!O44</f>
        <v>21000</v>
      </c>
    </row>
    <row r="15" spans="2:15" x14ac:dyDescent="0.35">
      <c r="B15" s="17" t="s">
        <v>84</v>
      </c>
      <c r="C15" s="31">
        <f>Assumptions!C45</f>
        <v>0</v>
      </c>
      <c r="D15" s="31">
        <f>Assumptions!D45</f>
        <v>0</v>
      </c>
      <c r="E15" s="31">
        <f>Assumptions!E45</f>
        <v>0</v>
      </c>
      <c r="F15" s="31">
        <f>Assumptions!F45</f>
        <v>0</v>
      </c>
      <c r="G15" s="31">
        <f>Assumptions!G45</f>
        <v>0</v>
      </c>
      <c r="H15" s="31">
        <f>Assumptions!H45</f>
        <v>0</v>
      </c>
      <c r="I15" s="31">
        <f>Assumptions!I45</f>
        <v>0</v>
      </c>
      <c r="J15" s="31">
        <f>Assumptions!J45</f>
        <v>310000</v>
      </c>
      <c r="K15" s="31">
        <f>Assumptions!K45</f>
        <v>0</v>
      </c>
      <c r="L15" s="31">
        <f>Assumptions!L45</f>
        <v>0</v>
      </c>
      <c r="M15" s="31">
        <f>Assumptions!M45</f>
        <v>0</v>
      </c>
      <c r="N15" s="31">
        <f>Assumptions!N45</f>
        <v>0</v>
      </c>
      <c r="O15" s="31">
        <f>Assumptions!O45</f>
        <v>0</v>
      </c>
    </row>
    <row r="16" spans="2:15" x14ac:dyDescent="0.35">
      <c r="B16" s="19" t="s">
        <v>85</v>
      </c>
      <c r="C16" s="32">
        <f t="shared" ref="C16:O16" si="2">SUM(C10:C15)</f>
        <v>747813.61101625941</v>
      </c>
      <c r="D16" s="32">
        <f t="shared" si="2"/>
        <v>1074963.3585323356</v>
      </c>
      <c r="E16" s="32">
        <f t="shared" si="2"/>
        <v>1007136.9258960311</v>
      </c>
      <c r="F16" s="32">
        <f t="shared" si="2"/>
        <v>1092141.9460535855</v>
      </c>
      <c r="G16" s="32">
        <f t="shared" si="2"/>
        <v>778707.53922350018</v>
      </c>
      <c r="H16" s="32">
        <f t="shared" si="2"/>
        <v>1185250.811575287</v>
      </c>
      <c r="I16" s="32">
        <f t="shared" si="2"/>
        <v>961368.99655933655</v>
      </c>
      <c r="J16" s="32">
        <f t="shared" si="2"/>
        <v>1398317.32493466</v>
      </c>
      <c r="K16" s="32">
        <f t="shared" si="2"/>
        <v>746192.34504169226</v>
      </c>
      <c r="L16" s="32">
        <f t="shared" si="2"/>
        <v>1182320.8633015943</v>
      </c>
      <c r="M16" s="32">
        <f t="shared" si="2"/>
        <v>675237.84191101836</v>
      </c>
      <c r="N16" s="32">
        <f t="shared" si="2"/>
        <v>1042256.5942330728</v>
      </c>
      <c r="O16" s="32">
        <f t="shared" si="2"/>
        <v>595012.99227547483</v>
      </c>
    </row>
    <row r="18" spans="2:15" x14ac:dyDescent="0.35">
      <c r="B18" s="19" t="s">
        <v>86</v>
      </c>
      <c r="C18" s="32">
        <f t="shared" ref="C18:O18" si="3">C8-C16</f>
        <v>264721.51418699056</v>
      </c>
      <c r="D18" s="32">
        <f t="shared" si="3"/>
        <v>-49195.64132588997</v>
      </c>
      <c r="E18" s="32">
        <f t="shared" si="3"/>
        <v>31446.580894122948</v>
      </c>
      <c r="F18" s="32">
        <f t="shared" si="3"/>
        <v>-42672.921406678157</v>
      </c>
      <c r="G18" s="32">
        <f t="shared" si="3"/>
        <v>278026.94683175383</v>
      </c>
      <c r="H18" s="32">
        <f t="shared" si="3"/>
        <v>-121113.38997414266</v>
      </c>
      <c r="I18" s="32">
        <f t="shared" si="3"/>
        <v>93930.233541595051</v>
      </c>
      <c r="J18" s="32">
        <f t="shared" si="3"/>
        <v>-373208.92620110349</v>
      </c>
      <c r="K18" s="32">
        <f t="shared" si="3"/>
        <v>237513.62409866066</v>
      </c>
      <c r="L18" s="32">
        <f t="shared" si="3"/>
        <v>-249151.75311646506</v>
      </c>
      <c r="M18" s="32">
        <f t="shared" si="3"/>
        <v>186671.47914293432</v>
      </c>
      <c r="N18" s="32">
        <f t="shared" si="3"/>
        <v>-266580.08714984031</v>
      </c>
      <c r="O18" s="32">
        <f t="shared" si="3"/>
        <v>183215.24062136386</v>
      </c>
    </row>
    <row r="19" spans="2:15" x14ac:dyDescent="0.35">
      <c r="B19" s="19" t="s">
        <v>87</v>
      </c>
      <c r="C19" s="32">
        <f t="shared" ref="C19:O19" si="4">C5+C18</f>
        <v>3531721.5141869904</v>
      </c>
      <c r="D19" s="32">
        <f t="shared" si="4"/>
        <v>3482525.8728611004</v>
      </c>
      <c r="E19" s="32">
        <f t="shared" si="4"/>
        <v>3513972.4537552232</v>
      </c>
      <c r="F19" s="32">
        <f t="shared" si="4"/>
        <v>3471299.5323485453</v>
      </c>
      <c r="G19" s="32">
        <f t="shared" si="4"/>
        <v>3749326.4791802992</v>
      </c>
      <c r="H19" s="32">
        <f t="shared" si="4"/>
        <v>3628213.0892061563</v>
      </c>
      <c r="I19" s="32">
        <f t="shared" si="4"/>
        <v>3722143.3227477511</v>
      </c>
      <c r="J19" s="32">
        <f t="shared" si="4"/>
        <v>3348934.3965466479</v>
      </c>
      <c r="K19" s="32">
        <f t="shared" si="4"/>
        <v>3586448.0206453083</v>
      </c>
      <c r="L19" s="32">
        <f t="shared" si="4"/>
        <v>3337296.2675288431</v>
      </c>
      <c r="M19" s="32">
        <f t="shared" si="4"/>
        <v>3523967.7466717772</v>
      </c>
      <c r="N19" s="32">
        <f t="shared" si="4"/>
        <v>3257387.6595219369</v>
      </c>
      <c r="O19" s="32">
        <f t="shared" si="4"/>
        <v>3440602.9001433006</v>
      </c>
    </row>
    <row r="21" spans="2:15" x14ac:dyDescent="0.35">
      <c r="B21" s="17" t="s">
        <v>88</v>
      </c>
      <c r="C21" s="31">
        <f>Assumptions!$C$28</f>
        <v>1200000</v>
      </c>
      <c r="D21" s="31">
        <f>Assumptions!$C$28</f>
        <v>1200000</v>
      </c>
      <c r="E21" s="31">
        <f>Assumptions!$C$28</f>
        <v>1200000</v>
      </c>
      <c r="F21" s="31">
        <f>Assumptions!$C$28</f>
        <v>1200000</v>
      </c>
      <c r="G21" s="31">
        <f>Assumptions!$C$28</f>
        <v>1200000</v>
      </c>
      <c r="H21" s="31">
        <f>Assumptions!$C$28</f>
        <v>1200000</v>
      </c>
      <c r="I21" s="31">
        <f>Assumptions!$C$28</f>
        <v>1200000</v>
      </c>
      <c r="J21" s="31">
        <f>Assumptions!$C$28</f>
        <v>1200000</v>
      </c>
      <c r="K21" s="31">
        <f>Assumptions!$C$28</f>
        <v>1200000</v>
      </c>
      <c r="L21" s="31">
        <f>Assumptions!$C$28</f>
        <v>1200000</v>
      </c>
      <c r="M21" s="31">
        <f>Assumptions!$C$28</f>
        <v>1200000</v>
      </c>
      <c r="N21" s="31">
        <f>Assumptions!$C$28</f>
        <v>1200000</v>
      </c>
      <c r="O21" s="31">
        <f>Assumptions!$C$28</f>
        <v>1200000</v>
      </c>
    </row>
    <row r="22" spans="2:15" x14ac:dyDescent="0.35">
      <c r="B22" s="19" t="s">
        <v>89</v>
      </c>
      <c r="C22" s="32">
        <f t="shared" ref="C22:O22" si="5">C19-C21</f>
        <v>2331721.5141869904</v>
      </c>
      <c r="D22" s="32">
        <f t="shared" si="5"/>
        <v>2282525.8728611004</v>
      </c>
      <c r="E22" s="32">
        <f t="shared" si="5"/>
        <v>2313972.4537552232</v>
      </c>
      <c r="F22" s="32">
        <f t="shared" si="5"/>
        <v>2271299.5323485453</v>
      </c>
      <c r="G22" s="32">
        <f t="shared" si="5"/>
        <v>2549326.4791802992</v>
      </c>
      <c r="H22" s="32">
        <f t="shared" si="5"/>
        <v>2428213.0892061563</v>
      </c>
      <c r="I22" s="32">
        <f t="shared" si="5"/>
        <v>2522143.3227477511</v>
      </c>
      <c r="J22" s="32">
        <f t="shared" si="5"/>
        <v>2148934.3965466479</v>
      </c>
      <c r="K22" s="32">
        <f t="shared" si="5"/>
        <v>2386448.0206453083</v>
      </c>
      <c r="L22" s="32">
        <f t="shared" si="5"/>
        <v>2137296.2675288431</v>
      </c>
      <c r="M22" s="32">
        <f t="shared" si="5"/>
        <v>2323967.7466717772</v>
      </c>
      <c r="N22" s="32">
        <f t="shared" si="5"/>
        <v>2057387.6595219369</v>
      </c>
      <c r="O22" s="32">
        <f t="shared" si="5"/>
        <v>2240602.9001433006</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pageSetUpPr fitToPage="1"/>
  </sheetPr>
  <dimension ref="A1:F556"/>
  <sheetViews>
    <sheetView showGridLines="0" zoomScaleNormal="100" workbookViewId="0">
      <pane ySplit="4" topLeftCell="A49" activePane="bottomLeft" state="frozen"/>
      <selection pane="bottomLeft"/>
    </sheetView>
  </sheetViews>
  <sheetFormatPr defaultColWidth="8.6328125" defaultRowHeight="14.5" x14ac:dyDescent="0.35"/>
  <cols>
    <col min="1" max="1" width="12" customWidth="1"/>
    <col min="2" max="2" width="14" customWidth="1"/>
    <col min="3" max="3" width="18" customWidth="1"/>
    <col min="4" max="4" width="14" customWidth="1"/>
    <col min="5" max="5" width="10" customWidth="1"/>
    <col min="6" max="6" width="40" customWidth="1"/>
  </cols>
  <sheetData>
    <row r="1" spans="1:6" ht="18" customHeight="1" x14ac:dyDescent="0.4">
      <c r="A1" s="15" t="s">
        <v>15</v>
      </c>
    </row>
    <row r="2" spans="1:6" ht="43.5" customHeight="1" x14ac:dyDescent="0.35">
      <c r="A2" s="59" t="s">
        <v>120</v>
      </c>
      <c r="B2" s="59"/>
      <c r="C2" s="59"/>
      <c r="D2" s="59"/>
      <c r="E2" s="59"/>
      <c r="F2" s="59"/>
    </row>
    <row r="4" spans="1:6" x14ac:dyDescent="0.35">
      <c r="A4" s="36" t="s">
        <v>121</v>
      </c>
      <c r="B4" s="36" t="s">
        <v>122</v>
      </c>
      <c r="C4" s="36" t="s">
        <v>105</v>
      </c>
      <c r="D4" s="36" t="s">
        <v>123</v>
      </c>
      <c r="E4" s="36" t="s">
        <v>124</v>
      </c>
    </row>
    <row r="5" spans="1:6" x14ac:dyDescent="0.35">
      <c r="A5" s="8">
        <v>0</v>
      </c>
      <c r="B5" s="8">
        <v>1</v>
      </c>
      <c r="C5" s="8" t="s">
        <v>77</v>
      </c>
      <c r="D5" s="23">
        <v>931500</v>
      </c>
      <c r="E5" s="8" t="s">
        <v>125</v>
      </c>
    </row>
    <row r="6" spans="1:6" x14ac:dyDescent="0.35">
      <c r="A6" s="8">
        <v>0</v>
      </c>
      <c r="B6" s="8">
        <v>1</v>
      </c>
      <c r="C6" s="8" t="s">
        <v>78</v>
      </c>
      <c r="D6" s="23">
        <v>8000</v>
      </c>
      <c r="E6" s="8" t="s">
        <v>125</v>
      </c>
    </row>
    <row r="7" spans="1:6" x14ac:dyDescent="0.35">
      <c r="A7" s="8">
        <v>0</v>
      </c>
      <c r="B7" s="8">
        <v>1</v>
      </c>
      <c r="C7" s="8" t="s">
        <v>80</v>
      </c>
      <c r="D7" s="23">
        <v>588500</v>
      </c>
      <c r="E7" s="8" t="s">
        <v>125</v>
      </c>
    </row>
    <row r="8" spans="1:6" x14ac:dyDescent="0.35">
      <c r="A8" s="8">
        <v>0</v>
      </c>
      <c r="B8" s="8">
        <v>1</v>
      </c>
      <c r="C8" s="8" t="s">
        <v>63</v>
      </c>
      <c r="D8" s="23">
        <v>0</v>
      </c>
      <c r="E8" s="8" t="s">
        <v>125</v>
      </c>
    </row>
    <row r="9" spans="1:6" x14ac:dyDescent="0.35">
      <c r="A9" s="8">
        <v>0</v>
      </c>
      <c r="B9" s="8">
        <v>1</v>
      </c>
      <c r="C9" s="8" t="s">
        <v>81</v>
      </c>
      <c r="D9" s="23">
        <v>95000</v>
      </c>
      <c r="E9" s="8" t="s">
        <v>125</v>
      </c>
    </row>
    <row r="10" spans="1:6" x14ac:dyDescent="0.35">
      <c r="A10" s="8">
        <v>0</v>
      </c>
      <c r="B10" s="8">
        <v>1</v>
      </c>
      <c r="C10" s="8" t="s">
        <v>82</v>
      </c>
      <c r="D10" s="23">
        <v>0</v>
      </c>
      <c r="E10" s="8" t="s">
        <v>125</v>
      </c>
    </row>
    <row r="11" spans="1:6" x14ac:dyDescent="0.35">
      <c r="A11" s="8">
        <v>0</v>
      </c>
      <c r="B11" s="8">
        <v>1</v>
      </c>
      <c r="C11" s="8" t="s">
        <v>83</v>
      </c>
      <c r="D11" s="23">
        <v>21000</v>
      </c>
      <c r="E11" s="8" t="s">
        <v>125</v>
      </c>
    </row>
    <row r="12" spans="1:6" x14ac:dyDescent="0.35">
      <c r="A12" s="8">
        <v>0</v>
      </c>
      <c r="B12" s="8">
        <v>1</v>
      </c>
      <c r="C12" s="8" t="s">
        <v>84</v>
      </c>
      <c r="D12" s="23">
        <v>0</v>
      </c>
      <c r="E12" s="8" t="s">
        <v>125</v>
      </c>
    </row>
    <row r="13" spans="1:6" x14ac:dyDescent="0.35">
      <c r="A13" s="8">
        <v>0</v>
      </c>
      <c r="B13" s="8">
        <v>2</v>
      </c>
      <c r="C13" s="8" t="s">
        <v>77</v>
      </c>
      <c r="D13" s="23">
        <v>954050</v>
      </c>
      <c r="E13" s="8" t="s">
        <v>125</v>
      </c>
    </row>
    <row r="14" spans="1:6" x14ac:dyDescent="0.35">
      <c r="A14" s="8">
        <v>0</v>
      </c>
      <c r="B14" s="8">
        <v>2</v>
      </c>
      <c r="C14" s="8" t="s">
        <v>78</v>
      </c>
      <c r="D14" s="23">
        <v>8000</v>
      </c>
      <c r="E14" s="8" t="s">
        <v>125</v>
      </c>
    </row>
    <row r="15" spans="1:6" x14ac:dyDescent="0.35">
      <c r="A15" s="8">
        <v>0</v>
      </c>
      <c r="B15" s="8">
        <v>2</v>
      </c>
      <c r="C15" s="8" t="s">
        <v>80</v>
      </c>
      <c r="D15" s="23">
        <v>600078</v>
      </c>
      <c r="E15" s="8" t="s">
        <v>125</v>
      </c>
    </row>
    <row r="16" spans="1:6" x14ac:dyDescent="0.35">
      <c r="A16" s="8">
        <v>0</v>
      </c>
      <c r="B16" s="8">
        <v>2</v>
      </c>
      <c r="C16" s="8" t="s">
        <v>63</v>
      </c>
      <c r="D16" s="23">
        <v>312000</v>
      </c>
      <c r="E16" s="8" t="s">
        <v>125</v>
      </c>
    </row>
    <row r="17" spans="1:5" x14ac:dyDescent="0.35">
      <c r="A17" s="8">
        <v>0</v>
      </c>
      <c r="B17" s="8">
        <v>2</v>
      </c>
      <c r="C17" s="8" t="s">
        <v>81</v>
      </c>
      <c r="D17" s="23">
        <v>95000</v>
      </c>
      <c r="E17" s="8" t="s">
        <v>125</v>
      </c>
    </row>
    <row r="18" spans="1:5" x14ac:dyDescent="0.35">
      <c r="A18" s="8">
        <v>0</v>
      </c>
      <c r="B18" s="8">
        <v>2</v>
      </c>
      <c r="C18" s="8" t="s">
        <v>82</v>
      </c>
      <c r="D18" s="23">
        <v>0</v>
      </c>
      <c r="E18" s="8" t="s">
        <v>125</v>
      </c>
    </row>
    <row r="19" spans="1:5" x14ac:dyDescent="0.35">
      <c r="A19" s="8">
        <v>0</v>
      </c>
      <c r="B19" s="8">
        <v>2</v>
      </c>
      <c r="C19" s="8" t="s">
        <v>83</v>
      </c>
      <c r="D19" s="23">
        <v>21000</v>
      </c>
      <c r="E19" s="8" t="s">
        <v>125</v>
      </c>
    </row>
    <row r="20" spans="1:5" x14ac:dyDescent="0.35">
      <c r="A20" s="8">
        <v>0</v>
      </c>
      <c r="B20" s="8">
        <v>2</v>
      </c>
      <c r="C20" s="8" t="s">
        <v>84</v>
      </c>
      <c r="D20" s="23">
        <v>0</v>
      </c>
      <c r="E20" s="8" t="s">
        <v>125</v>
      </c>
    </row>
    <row r="21" spans="1:5" x14ac:dyDescent="0.35">
      <c r="A21" s="8">
        <v>0</v>
      </c>
      <c r="B21" s="8">
        <v>3</v>
      </c>
      <c r="C21" s="8" t="s">
        <v>77</v>
      </c>
      <c r="D21" s="23">
        <v>971734</v>
      </c>
      <c r="E21" s="8" t="s">
        <v>125</v>
      </c>
    </row>
    <row r="22" spans="1:5" x14ac:dyDescent="0.35">
      <c r="A22" s="8">
        <v>0</v>
      </c>
      <c r="B22" s="8">
        <v>3</v>
      </c>
      <c r="C22" s="8" t="s">
        <v>78</v>
      </c>
      <c r="D22" s="23">
        <v>8000</v>
      </c>
      <c r="E22" s="8" t="s">
        <v>125</v>
      </c>
    </row>
    <row r="23" spans="1:5" x14ac:dyDescent="0.35">
      <c r="A23" s="8">
        <v>0</v>
      </c>
      <c r="B23" s="8">
        <v>3</v>
      </c>
      <c r="C23" s="8" t="s">
        <v>80</v>
      </c>
      <c r="D23" s="23">
        <v>612088</v>
      </c>
      <c r="E23" s="8" t="s">
        <v>125</v>
      </c>
    </row>
    <row r="24" spans="1:5" x14ac:dyDescent="0.35">
      <c r="A24" s="8">
        <v>0</v>
      </c>
      <c r="B24" s="8">
        <v>3</v>
      </c>
      <c r="C24" s="8" t="s">
        <v>63</v>
      </c>
      <c r="D24" s="23">
        <v>0</v>
      </c>
      <c r="E24" s="8" t="s">
        <v>125</v>
      </c>
    </row>
    <row r="25" spans="1:5" x14ac:dyDescent="0.35">
      <c r="A25" s="8">
        <v>0</v>
      </c>
      <c r="B25" s="8">
        <v>3</v>
      </c>
      <c r="C25" s="8" t="s">
        <v>81</v>
      </c>
      <c r="D25" s="23">
        <v>95000</v>
      </c>
      <c r="E25" s="8" t="s">
        <v>125</v>
      </c>
    </row>
    <row r="26" spans="1:5" x14ac:dyDescent="0.35">
      <c r="A26" s="8">
        <v>0</v>
      </c>
      <c r="B26" s="8">
        <v>3</v>
      </c>
      <c r="C26" s="8" t="s">
        <v>82</v>
      </c>
      <c r="D26" s="23">
        <v>0</v>
      </c>
      <c r="E26" s="8" t="s">
        <v>125</v>
      </c>
    </row>
    <row r="27" spans="1:5" x14ac:dyDescent="0.35">
      <c r="A27" s="8">
        <v>0</v>
      </c>
      <c r="B27" s="8">
        <v>3</v>
      </c>
      <c r="C27" s="8" t="s">
        <v>83</v>
      </c>
      <c r="D27" s="23">
        <v>21000</v>
      </c>
      <c r="E27" s="8" t="s">
        <v>125</v>
      </c>
    </row>
    <row r="28" spans="1:5" x14ac:dyDescent="0.35">
      <c r="A28" s="8">
        <v>0</v>
      </c>
      <c r="B28" s="8">
        <v>3</v>
      </c>
      <c r="C28" s="8" t="s">
        <v>84</v>
      </c>
      <c r="D28" s="23">
        <v>0</v>
      </c>
      <c r="E28" s="8" t="s">
        <v>125</v>
      </c>
    </row>
    <row r="29" spans="1:5" x14ac:dyDescent="0.35">
      <c r="A29" s="8">
        <v>0</v>
      </c>
      <c r="B29" s="8">
        <v>4</v>
      </c>
      <c r="C29" s="8" t="s">
        <v>77</v>
      </c>
      <c r="D29" s="23">
        <v>989003</v>
      </c>
      <c r="E29" s="8" t="s">
        <v>125</v>
      </c>
    </row>
    <row r="30" spans="1:5" x14ac:dyDescent="0.35">
      <c r="A30" s="8">
        <v>0</v>
      </c>
      <c r="B30" s="8">
        <v>4</v>
      </c>
      <c r="C30" s="8" t="s">
        <v>78</v>
      </c>
      <c r="D30" s="23">
        <v>8000</v>
      </c>
      <c r="E30" s="8" t="s">
        <v>125</v>
      </c>
    </row>
    <row r="31" spans="1:5" x14ac:dyDescent="0.35">
      <c r="A31" s="8">
        <v>0</v>
      </c>
      <c r="B31" s="8">
        <v>4</v>
      </c>
      <c r="C31" s="8" t="s">
        <v>80</v>
      </c>
      <c r="D31" s="23">
        <v>622513</v>
      </c>
      <c r="E31" s="8" t="s">
        <v>125</v>
      </c>
    </row>
    <row r="32" spans="1:5" x14ac:dyDescent="0.35">
      <c r="A32" s="8">
        <v>0</v>
      </c>
      <c r="B32" s="8">
        <v>4</v>
      </c>
      <c r="C32" s="8" t="s">
        <v>63</v>
      </c>
      <c r="D32" s="23">
        <v>312000</v>
      </c>
      <c r="E32" s="8" t="s">
        <v>125</v>
      </c>
    </row>
    <row r="33" spans="1:5" x14ac:dyDescent="0.35">
      <c r="A33" s="8">
        <v>0</v>
      </c>
      <c r="B33" s="8">
        <v>4</v>
      </c>
      <c r="C33" s="8" t="s">
        <v>81</v>
      </c>
      <c r="D33" s="23">
        <v>95000</v>
      </c>
      <c r="E33" s="8" t="s">
        <v>125</v>
      </c>
    </row>
    <row r="34" spans="1:5" x14ac:dyDescent="0.35">
      <c r="A34" s="8">
        <v>0</v>
      </c>
      <c r="B34" s="8">
        <v>4</v>
      </c>
      <c r="C34" s="8" t="s">
        <v>82</v>
      </c>
      <c r="D34" s="23">
        <v>0</v>
      </c>
      <c r="E34" s="8" t="s">
        <v>125</v>
      </c>
    </row>
    <row r="35" spans="1:5" x14ac:dyDescent="0.35">
      <c r="A35" s="8">
        <v>0</v>
      </c>
      <c r="B35" s="8">
        <v>4</v>
      </c>
      <c r="C35" s="8" t="s">
        <v>83</v>
      </c>
      <c r="D35" s="23">
        <v>21000</v>
      </c>
      <c r="E35" s="8" t="s">
        <v>125</v>
      </c>
    </row>
    <row r="36" spans="1:5" x14ac:dyDescent="0.35">
      <c r="A36" s="8">
        <v>0</v>
      </c>
      <c r="B36" s="8">
        <v>4</v>
      </c>
      <c r="C36" s="8" t="s">
        <v>84</v>
      </c>
      <c r="D36" s="23">
        <v>0</v>
      </c>
      <c r="E36" s="8" t="s">
        <v>125</v>
      </c>
    </row>
    <row r="37" spans="1:5" x14ac:dyDescent="0.35">
      <c r="A37" s="8">
        <v>0</v>
      </c>
      <c r="B37" s="8">
        <v>5</v>
      </c>
      <c r="C37" s="8" t="s">
        <v>77</v>
      </c>
      <c r="D37" s="23">
        <v>1001727</v>
      </c>
      <c r="E37" s="8" t="s">
        <v>125</v>
      </c>
    </row>
    <row r="38" spans="1:5" x14ac:dyDescent="0.35">
      <c r="A38" s="8">
        <v>0</v>
      </c>
      <c r="B38" s="8">
        <v>5</v>
      </c>
      <c r="C38" s="8" t="s">
        <v>78</v>
      </c>
      <c r="D38" s="23">
        <v>8000</v>
      </c>
      <c r="E38" s="8" t="s">
        <v>125</v>
      </c>
    </row>
    <row r="39" spans="1:5" x14ac:dyDescent="0.35">
      <c r="A39" s="8">
        <v>0</v>
      </c>
      <c r="B39" s="8">
        <v>5</v>
      </c>
      <c r="C39" s="8" t="s">
        <v>80</v>
      </c>
      <c r="D39" s="23">
        <v>630908</v>
      </c>
      <c r="E39" s="8" t="s">
        <v>125</v>
      </c>
    </row>
    <row r="40" spans="1:5" x14ac:dyDescent="0.35">
      <c r="A40" s="8">
        <v>0</v>
      </c>
      <c r="B40" s="8">
        <v>5</v>
      </c>
      <c r="C40" s="8" t="s">
        <v>63</v>
      </c>
      <c r="D40" s="23">
        <v>0</v>
      </c>
      <c r="E40" s="8" t="s">
        <v>125</v>
      </c>
    </row>
    <row r="41" spans="1:5" x14ac:dyDescent="0.35">
      <c r="A41" s="8">
        <v>0</v>
      </c>
      <c r="B41" s="8">
        <v>5</v>
      </c>
      <c r="C41" s="8" t="s">
        <v>81</v>
      </c>
      <c r="D41" s="23">
        <v>95000</v>
      </c>
      <c r="E41" s="8" t="s">
        <v>125</v>
      </c>
    </row>
    <row r="42" spans="1:5" x14ac:dyDescent="0.35">
      <c r="A42" s="8">
        <v>0</v>
      </c>
      <c r="B42" s="8">
        <v>5</v>
      </c>
      <c r="C42" s="8" t="s">
        <v>82</v>
      </c>
      <c r="D42" s="23">
        <v>0</v>
      </c>
      <c r="E42" s="8" t="s">
        <v>125</v>
      </c>
    </row>
    <row r="43" spans="1:5" x14ac:dyDescent="0.35">
      <c r="A43" s="8">
        <v>0</v>
      </c>
      <c r="B43" s="8">
        <v>5</v>
      </c>
      <c r="C43" s="8" t="s">
        <v>83</v>
      </c>
      <c r="D43" s="23">
        <v>21000</v>
      </c>
      <c r="E43" s="8" t="s">
        <v>125</v>
      </c>
    </row>
    <row r="44" spans="1:5" x14ac:dyDescent="0.35">
      <c r="A44" s="8">
        <v>0</v>
      </c>
      <c r="B44" s="8">
        <v>5</v>
      </c>
      <c r="C44" s="8" t="s">
        <v>84</v>
      </c>
      <c r="D44" s="23">
        <v>0</v>
      </c>
      <c r="E44" s="8" t="s">
        <v>125</v>
      </c>
    </row>
    <row r="45" spans="1:5" x14ac:dyDescent="0.35">
      <c r="A45" s="8">
        <v>0</v>
      </c>
      <c r="B45" s="8">
        <v>6</v>
      </c>
      <c r="C45" s="8" t="s">
        <v>77</v>
      </c>
      <c r="D45" s="23">
        <v>1015933</v>
      </c>
      <c r="E45" s="8" t="s">
        <v>125</v>
      </c>
    </row>
    <row r="46" spans="1:5" x14ac:dyDescent="0.35">
      <c r="A46" s="8">
        <v>0</v>
      </c>
      <c r="B46" s="8">
        <v>6</v>
      </c>
      <c r="C46" s="8" t="s">
        <v>78</v>
      </c>
      <c r="D46" s="23">
        <v>8000</v>
      </c>
      <c r="E46" s="8" t="s">
        <v>125</v>
      </c>
    </row>
    <row r="47" spans="1:5" x14ac:dyDescent="0.35">
      <c r="A47" s="8">
        <v>0</v>
      </c>
      <c r="B47" s="8">
        <v>6</v>
      </c>
      <c r="C47" s="8" t="s">
        <v>80</v>
      </c>
      <c r="D47" s="23">
        <v>639042</v>
      </c>
      <c r="E47" s="8" t="s">
        <v>125</v>
      </c>
    </row>
    <row r="48" spans="1:5" x14ac:dyDescent="0.35">
      <c r="A48" s="8">
        <v>0</v>
      </c>
      <c r="B48" s="8">
        <v>6</v>
      </c>
      <c r="C48" s="8" t="s">
        <v>63</v>
      </c>
      <c r="D48" s="23">
        <v>318000</v>
      </c>
      <c r="E48" s="8" t="s">
        <v>125</v>
      </c>
    </row>
    <row r="49" spans="1:5" x14ac:dyDescent="0.35">
      <c r="A49" s="8">
        <v>0</v>
      </c>
      <c r="B49" s="8">
        <v>6</v>
      </c>
      <c r="C49" s="8" t="s">
        <v>81</v>
      </c>
      <c r="D49" s="23">
        <v>95000</v>
      </c>
      <c r="E49" s="8" t="s">
        <v>125</v>
      </c>
    </row>
    <row r="50" spans="1:5" x14ac:dyDescent="0.35">
      <c r="A50" s="8">
        <v>0</v>
      </c>
      <c r="B50" s="8">
        <v>6</v>
      </c>
      <c r="C50" s="8" t="s">
        <v>82</v>
      </c>
      <c r="D50" s="23">
        <v>0</v>
      </c>
      <c r="E50" s="8" t="s">
        <v>125</v>
      </c>
    </row>
    <row r="51" spans="1:5" x14ac:dyDescent="0.35">
      <c r="A51" s="8">
        <v>0</v>
      </c>
      <c r="B51" s="8">
        <v>6</v>
      </c>
      <c r="C51" s="8" t="s">
        <v>83</v>
      </c>
      <c r="D51" s="23">
        <v>21000</v>
      </c>
      <c r="E51" s="8" t="s">
        <v>125</v>
      </c>
    </row>
    <row r="52" spans="1:5" x14ac:dyDescent="0.35">
      <c r="A52" s="8">
        <v>0</v>
      </c>
      <c r="B52" s="8">
        <v>6</v>
      </c>
      <c r="C52" s="8" t="s">
        <v>84</v>
      </c>
      <c r="D52" s="23">
        <v>0</v>
      </c>
      <c r="E52" s="8" t="s">
        <v>125</v>
      </c>
    </row>
    <row r="53" spans="1:5" x14ac:dyDescent="0.35">
      <c r="A53" s="8">
        <v>0</v>
      </c>
      <c r="B53" s="8">
        <v>7</v>
      </c>
      <c r="C53" s="8" t="s">
        <v>77</v>
      </c>
      <c r="D53" s="23">
        <v>1030296</v>
      </c>
      <c r="E53" s="8" t="s">
        <v>125</v>
      </c>
    </row>
    <row r="54" spans="1:5" x14ac:dyDescent="0.35">
      <c r="A54" s="8">
        <v>0</v>
      </c>
      <c r="B54" s="8">
        <v>7</v>
      </c>
      <c r="C54" s="8" t="s">
        <v>78</v>
      </c>
      <c r="D54" s="23">
        <v>8000</v>
      </c>
      <c r="E54" s="8" t="s">
        <v>125</v>
      </c>
    </row>
    <row r="55" spans="1:5" x14ac:dyDescent="0.35">
      <c r="A55" s="8">
        <v>0</v>
      </c>
      <c r="B55" s="8">
        <v>7</v>
      </c>
      <c r="C55" s="8" t="s">
        <v>80</v>
      </c>
      <c r="D55" s="23">
        <v>647840</v>
      </c>
      <c r="E55" s="8" t="s">
        <v>125</v>
      </c>
    </row>
    <row r="56" spans="1:5" x14ac:dyDescent="0.35">
      <c r="A56" s="8">
        <v>0</v>
      </c>
      <c r="B56" s="8">
        <v>7</v>
      </c>
      <c r="C56" s="8" t="s">
        <v>63</v>
      </c>
      <c r="D56" s="23">
        <v>0</v>
      </c>
      <c r="E56" s="8" t="s">
        <v>125</v>
      </c>
    </row>
    <row r="57" spans="1:5" x14ac:dyDescent="0.35">
      <c r="A57" s="8">
        <v>0</v>
      </c>
      <c r="B57" s="8">
        <v>7</v>
      </c>
      <c r="C57" s="8" t="s">
        <v>81</v>
      </c>
      <c r="D57" s="23">
        <v>95000</v>
      </c>
      <c r="E57" s="8" t="s">
        <v>125</v>
      </c>
    </row>
    <row r="58" spans="1:5" x14ac:dyDescent="0.35">
      <c r="A58" s="8">
        <v>0</v>
      </c>
      <c r="B58" s="8">
        <v>7</v>
      </c>
      <c r="C58" s="8" t="s">
        <v>82</v>
      </c>
      <c r="D58" s="23">
        <v>240000</v>
      </c>
      <c r="E58" s="8" t="s">
        <v>125</v>
      </c>
    </row>
    <row r="59" spans="1:5" x14ac:dyDescent="0.35">
      <c r="A59" s="8">
        <v>0</v>
      </c>
      <c r="B59" s="8">
        <v>7</v>
      </c>
      <c r="C59" s="8" t="s">
        <v>83</v>
      </c>
      <c r="D59" s="23">
        <v>21000</v>
      </c>
      <c r="E59" s="8" t="s">
        <v>125</v>
      </c>
    </row>
    <row r="60" spans="1:5" x14ac:dyDescent="0.35">
      <c r="A60" s="8">
        <v>0</v>
      </c>
      <c r="B60" s="8">
        <v>7</v>
      </c>
      <c r="C60" s="8" t="s">
        <v>84</v>
      </c>
      <c r="D60" s="23">
        <v>0</v>
      </c>
      <c r="E60" s="8" t="s">
        <v>125</v>
      </c>
    </row>
    <row r="61" spans="1:5" x14ac:dyDescent="0.35">
      <c r="A61" s="8">
        <v>0</v>
      </c>
      <c r="B61" s="8">
        <v>8</v>
      </c>
      <c r="C61" s="8" t="s">
        <v>77</v>
      </c>
      <c r="D61" s="23">
        <v>1042083</v>
      </c>
      <c r="E61" s="8" t="s">
        <v>125</v>
      </c>
    </row>
    <row r="62" spans="1:5" x14ac:dyDescent="0.35">
      <c r="A62" s="8">
        <v>0</v>
      </c>
      <c r="B62" s="8">
        <v>8</v>
      </c>
      <c r="C62" s="8" t="s">
        <v>78</v>
      </c>
      <c r="D62" s="23">
        <v>8000</v>
      </c>
      <c r="E62" s="8" t="s">
        <v>125</v>
      </c>
    </row>
    <row r="63" spans="1:5" x14ac:dyDescent="0.35">
      <c r="A63" s="8">
        <v>0</v>
      </c>
      <c r="B63" s="8">
        <v>8</v>
      </c>
      <c r="C63" s="8" t="s">
        <v>80</v>
      </c>
      <c r="D63" s="23">
        <v>656357</v>
      </c>
      <c r="E63" s="8" t="s">
        <v>125</v>
      </c>
    </row>
    <row r="64" spans="1:5" x14ac:dyDescent="0.35">
      <c r="A64" s="8">
        <v>0</v>
      </c>
      <c r="B64" s="8">
        <v>8</v>
      </c>
      <c r="C64" s="8" t="s">
        <v>63</v>
      </c>
      <c r="D64" s="23">
        <v>318000</v>
      </c>
      <c r="E64" s="8" t="s">
        <v>125</v>
      </c>
    </row>
    <row r="65" spans="1:5" x14ac:dyDescent="0.35">
      <c r="A65" s="8">
        <v>0</v>
      </c>
      <c r="B65" s="8">
        <v>8</v>
      </c>
      <c r="C65" s="8" t="s">
        <v>81</v>
      </c>
      <c r="D65" s="23">
        <v>95000</v>
      </c>
      <c r="E65" s="8" t="s">
        <v>125</v>
      </c>
    </row>
    <row r="66" spans="1:5" x14ac:dyDescent="0.35">
      <c r="A66" s="8">
        <v>0</v>
      </c>
      <c r="B66" s="8">
        <v>8</v>
      </c>
      <c r="C66" s="8" t="s">
        <v>82</v>
      </c>
      <c r="D66" s="23">
        <v>0</v>
      </c>
      <c r="E66" s="8" t="s">
        <v>125</v>
      </c>
    </row>
    <row r="67" spans="1:5" x14ac:dyDescent="0.35">
      <c r="A67" s="8">
        <v>0</v>
      </c>
      <c r="B67" s="8">
        <v>8</v>
      </c>
      <c r="C67" s="8" t="s">
        <v>83</v>
      </c>
      <c r="D67" s="23">
        <v>21000</v>
      </c>
      <c r="E67" s="8" t="s">
        <v>125</v>
      </c>
    </row>
    <row r="68" spans="1:5" x14ac:dyDescent="0.35">
      <c r="A68" s="8">
        <v>0</v>
      </c>
      <c r="B68" s="8">
        <v>8</v>
      </c>
      <c r="C68" s="8" t="s">
        <v>84</v>
      </c>
      <c r="D68" s="23">
        <v>0</v>
      </c>
      <c r="E68" s="8" t="s">
        <v>125</v>
      </c>
    </row>
    <row r="69" spans="1:5" x14ac:dyDescent="0.35">
      <c r="A69" s="8">
        <v>0</v>
      </c>
      <c r="B69" s="8">
        <v>9</v>
      </c>
      <c r="C69" s="8" t="s">
        <v>77</v>
      </c>
      <c r="D69" s="23">
        <v>1048734</v>
      </c>
      <c r="E69" s="8" t="s">
        <v>125</v>
      </c>
    </row>
    <row r="70" spans="1:5" x14ac:dyDescent="0.35">
      <c r="A70" s="8">
        <v>0</v>
      </c>
      <c r="B70" s="8">
        <v>9</v>
      </c>
      <c r="C70" s="8" t="s">
        <v>78</v>
      </c>
      <c r="D70" s="23">
        <v>8000</v>
      </c>
      <c r="E70" s="8" t="s">
        <v>125</v>
      </c>
    </row>
    <row r="71" spans="1:5" x14ac:dyDescent="0.35">
      <c r="A71" s="8">
        <v>0</v>
      </c>
      <c r="B71" s="8">
        <v>9</v>
      </c>
      <c r="C71" s="8" t="s">
        <v>80</v>
      </c>
      <c r="D71" s="23">
        <v>662708</v>
      </c>
      <c r="E71" s="8" t="s">
        <v>125</v>
      </c>
    </row>
    <row r="72" spans="1:5" x14ac:dyDescent="0.35">
      <c r="A72" s="8">
        <v>0</v>
      </c>
      <c r="B72" s="8">
        <v>9</v>
      </c>
      <c r="C72" s="8" t="s">
        <v>63</v>
      </c>
      <c r="D72" s="23">
        <v>0</v>
      </c>
      <c r="E72" s="8" t="s">
        <v>125</v>
      </c>
    </row>
    <row r="73" spans="1:5" x14ac:dyDescent="0.35">
      <c r="A73" s="8">
        <v>0</v>
      </c>
      <c r="B73" s="8">
        <v>9</v>
      </c>
      <c r="C73" s="8" t="s">
        <v>81</v>
      </c>
      <c r="D73" s="23">
        <v>95000</v>
      </c>
      <c r="E73" s="8" t="s">
        <v>125</v>
      </c>
    </row>
    <row r="74" spans="1:5" x14ac:dyDescent="0.35">
      <c r="A74" s="8">
        <v>0</v>
      </c>
      <c r="B74" s="8">
        <v>9</v>
      </c>
      <c r="C74" s="8" t="s">
        <v>82</v>
      </c>
      <c r="D74" s="23">
        <v>0</v>
      </c>
      <c r="E74" s="8" t="s">
        <v>125</v>
      </c>
    </row>
    <row r="75" spans="1:5" x14ac:dyDescent="0.35">
      <c r="A75" s="8">
        <v>0</v>
      </c>
      <c r="B75" s="8">
        <v>9</v>
      </c>
      <c r="C75" s="8" t="s">
        <v>83</v>
      </c>
      <c r="D75" s="23">
        <v>21000</v>
      </c>
      <c r="E75" s="8" t="s">
        <v>125</v>
      </c>
    </row>
    <row r="76" spans="1:5" x14ac:dyDescent="0.35">
      <c r="A76" s="8">
        <v>0</v>
      </c>
      <c r="B76" s="8">
        <v>9</v>
      </c>
      <c r="C76" s="8" t="s">
        <v>84</v>
      </c>
      <c r="D76" s="23">
        <v>0</v>
      </c>
      <c r="E76" s="8" t="s">
        <v>125</v>
      </c>
    </row>
    <row r="77" spans="1:5" x14ac:dyDescent="0.35">
      <c r="A77" s="8">
        <v>0</v>
      </c>
      <c r="B77" s="8">
        <v>10</v>
      </c>
      <c r="C77" s="8" t="s">
        <v>77</v>
      </c>
      <c r="D77" s="23">
        <v>1056137</v>
      </c>
      <c r="E77" s="8" t="s">
        <v>125</v>
      </c>
    </row>
    <row r="78" spans="1:5" x14ac:dyDescent="0.35">
      <c r="A78" s="8">
        <v>0</v>
      </c>
      <c r="B78" s="8">
        <v>10</v>
      </c>
      <c r="C78" s="8" t="s">
        <v>78</v>
      </c>
      <c r="D78" s="23">
        <v>8000</v>
      </c>
      <c r="E78" s="8" t="s">
        <v>125</v>
      </c>
    </row>
    <row r="79" spans="1:5" x14ac:dyDescent="0.35">
      <c r="A79" s="8">
        <v>0</v>
      </c>
      <c r="B79" s="8">
        <v>10</v>
      </c>
      <c r="C79" s="8" t="s">
        <v>80</v>
      </c>
      <c r="D79" s="23">
        <v>666251</v>
      </c>
      <c r="E79" s="8" t="s">
        <v>125</v>
      </c>
    </row>
    <row r="80" spans="1:5" x14ac:dyDescent="0.35">
      <c r="A80" s="8">
        <v>0</v>
      </c>
      <c r="B80" s="8">
        <v>10</v>
      </c>
      <c r="C80" s="8" t="s">
        <v>63</v>
      </c>
      <c r="D80" s="23">
        <v>318000</v>
      </c>
      <c r="E80" s="8" t="s">
        <v>125</v>
      </c>
    </row>
    <row r="81" spans="1:5" x14ac:dyDescent="0.35">
      <c r="A81" s="8">
        <v>0</v>
      </c>
      <c r="B81" s="8">
        <v>10</v>
      </c>
      <c r="C81" s="8" t="s">
        <v>81</v>
      </c>
      <c r="D81" s="23">
        <v>95000</v>
      </c>
      <c r="E81" s="8" t="s">
        <v>125</v>
      </c>
    </row>
    <row r="82" spans="1:5" x14ac:dyDescent="0.35">
      <c r="A82" s="8">
        <v>0</v>
      </c>
      <c r="B82" s="8">
        <v>10</v>
      </c>
      <c r="C82" s="8" t="s">
        <v>82</v>
      </c>
      <c r="D82" s="23">
        <v>85000</v>
      </c>
      <c r="E82" s="8" t="s">
        <v>125</v>
      </c>
    </row>
    <row r="83" spans="1:5" x14ac:dyDescent="0.35">
      <c r="A83" s="8">
        <v>0</v>
      </c>
      <c r="B83" s="8">
        <v>10</v>
      </c>
      <c r="C83" s="8" t="s">
        <v>83</v>
      </c>
      <c r="D83" s="23">
        <v>21000</v>
      </c>
      <c r="E83" s="8" t="s">
        <v>125</v>
      </c>
    </row>
    <row r="84" spans="1:5" x14ac:dyDescent="0.35">
      <c r="A84" s="8">
        <v>0</v>
      </c>
      <c r="B84" s="8">
        <v>10</v>
      </c>
      <c r="C84" s="8" t="s">
        <v>84</v>
      </c>
      <c r="D84" s="23">
        <v>0</v>
      </c>
      <c r="E84" s="8" t="s">
        <v>125</v>
      </c>
    </row>
    <row r="85" spans="1:5" x14ac:dyDescent="0.35">
      <c r="A85" s="8">
        <v>0</v>
      </c>
      <c r="B85" s="8">
        <v>11</v>
      </c>
      <c r="C85" s="8" t="s">
        <v>77</v>
      </c>
      <c r="D85" s="23">
        <v>1047299</v>
      </c>
      <c r="E85" s="8" t="s">
        <v>125</v>
      </c>
    </row>
    <row r="86" spans="1:5" x14ac:dyDescent="0.35">
      <c r="A86" s="8">
        <v>0</v>
      </c>
      <c r="B86" s="8">
        <v>11</v>
      </c>
      <c r="C86" s="8" t="s">
        <v>78</v>
      </c>
      <c r="D86" s="23">
        <v>8000</v>
      </c>
      <c r="E86" s="8" t="s">
        <v>125</v>
      </c>
    </row>
    <row r="87" spans="1:5" x14ac:dyDescent="0.35">
      <c r="A87" s="8">
        <v>0</v>
      </c>
      <c r="B87" s="8">
        <v>11</v>
      </c>
      <c r="C87" s="8" t="s">
        <v>80</v>
      </c>
      <c r="D87" s="23">
        <v>665369</v>
      </c>
      <c r="E87" s="8" t="s">
        <v>125</v>
      </c>
    </row>
    <row r="88" spans="1:5" x14ac:dyDescent="0.35">
      <c r="A88" s="8">
        <v>0</v>
      </c>
      <c r="B88" s="8">
        <v>11</v>
      </c>
      <c r="C88" s="8" t="s">
        <v>63</v>
      </c>
      <c r="D88" s="23">
        <v>0</v>
      </c>
      <c r="E88" s="8" t="s">
        <v>125</v>
      </c>
    </row>
    <row r="89" spans="1:5" x14ac:dyDescent="0.35">
      <c r="A89" s="8">
        <v>0</v>
      </c>
      <c r="B89" s="8">
        <v>11</v>
      </c>
      <c r="C89" s="8" t="s">
        <v>81</v>
      </c>
      <c r="D89" s="23">
        <v>275000</v>
      </c>
      <c r="E89" s="8" t="s">
        <v>125</v>
      </c>
    </row>
    <row r="90" spans="1:5" x14ac:dyDescent="0.35">
      <c r="A90" s="8">
        <v>0</v>
      </c>
      <c r="B90" s="8">
        <v>11</v>
      </c>
      <c r="C90" s="8" t="s">
        <v>82</v>
      </c>
      <c r="D90" s="23">
        <v>0</v>
      </c>
      <c r="E90" s="8" t="s">
        <v>125</v>
      </c>
    </row>
    <row r="91" spans="1:5" x14ac:dyDescent="0.35">
      <c r="A91" s="8">
        <v>0</v>
      </c>
      <c r="B91" s="8">
        <v>11</v>
      </c>
      <c r="C91" s="8" t="s">
        <v>83</v>
      </c>
      <c r="D91" s="23">
        <v>21000</v>
      </c>
      <c r="E91" s="8" t="s">
        <v>125</v>
      </c>
    </row>
    <row r="92" spans="1:5" x14ac:dyDescent="0.35">
      <c r="A92" s="8">
        <v>0</v>
      </c>
      <c r="B92" s="8">
        <v>11</v>
      </c>
      <c r="C92" s="8" t="s">
        <v>84</v>
      </c>
      <c r="D92" s="23">
        <v>0</v>
      </c>
      <c r="E92" s="8" t="s">
        <v>125</v>
      </c>
    </row>
    <row r="93" spans="1:5" x14ac:dyDescent="0.35">
      <c r="A93" s="8">
        <v>0</v>
      </c>
      <c r="B93" s="8">
        <v>12</v>
      </c>
      <c r="C93" s="8" t="s">
        <v>77</v>
      </c>
      <c r="D93" s="23">
        <v>1017108</v>
      </c>
      <c r="E93" s="8" t="s">
        <v>125</v>
      </c>
    </row>
    <row r="94" spans="1:5" x14ac:dyDescent="0.35">
      <c r="A94" s="8">
        <v>0</v>
      </c>
      <c r="B94" s="8">
        <v>12</v>
      </c>
      <c r="C94" s="8" t="s">
        <v>78</v>
      </c>
      <c r="D94" s="23">
        <v>8000</v>
      </c>
      <c r="E94" s="8" t="s">
        <v>125</v>
      </c>
    </row>
    <row r="95" spans="1:5" x14ac:dyDescent="0.35">
      <c r="A95" s="8">
        <v>0</v>
      </c>
      <c r="B95" s="8">
        <v>12</v>
      </c>
      <c r="C95" s="8" t="s">
        <v>80</v>
      </c>
      <c r="D95" s="23">
        <v>654317</v>
      </c>
      <c r="E95" s="8" t="s">
        <v>125</v>
      </c>
    </row>
    <row r="96" spans="1:5" x14ac:dyDescent="0.35">
      <c r="A96" s="8">
        <v>0</v>
      </c>
      <c r="B96" s="8">
        <v>12</v>
      </c>
      <c r="C96" s="8" t="s">
        <v>63</v>
      </c>
      <c r="D96" s="23">
        <v>318000</v>
      </c>
      <c r="E96" s="8" t="s">
        <v>125</v>
      </c>
    </row>
    <row r="97" spans="1:5" x14ac:dyDescent="0.35">
      <c r="A97" s="8">
        <v>0</v>
      </c>
      <c r="B97" s="8">
        <v>12</v>
      </c>
      <c r="C97" s="8" t="s">
        <v>81</v>
      </c>
      <c r="D97" s="23">
        <v>95000</v>
      </c>
      <c r="E97" s="8" t="s">
        <v>125</v>
      </c>
    </row>
    <row r="98" spans="1:5" x14ac:dyDescent="0.35">
      <c r="A98" s="8">
        <v>0</v>
      </c>
      <c r="B98" s="8">
        <v>12</v>
      </c>
      <c r="C98" s="8" t="s">
        <v>82</v>
      </c>
      <c r="D98" s="23">
        <v>150000</v>
      </c>
      <c r="E98" s="8" t="s">
        <v>125</v>
      </c>
    </row>
    <row r="99" spans="1:5" x14ac:dyDescent="0.35">
      <c r="A99" s="8">
        <v>0</v>
      </c>
      <c r="B99" s="8">
        <v>12</v>
      </c>
      <c r="C99" s="8" t="s">
        <v>83</v>
      </c>
      <c r="D99" s="23">
        <v>21000</v>
      </c>
      <c r="E99" s="8" t="s">
        <v>125</v>
      </c>
    </row>
    <row r="100" spans="1:5" x14ac:dyDescent="0.35">
      <c r="A100" s="8">
        <v>0</v>
      </c>
      <c r="B100" s="8">
        <v>12</v>
      </c>
      <c r="C100" s="8" t="s">
        <v>84</v>
      </c>
      <c r="D100" s="23">
        <v>310000</v>
      </c>
      <c r="E100" s="8" t="s">
        <v>125</v>
      </c>
    </row>
    <row r="101" spans="1:5" x14ac:dyDescent="0.35">
      <c r="A101" s="8">
        <v>0</v>
      </c>
      <c r="B101" s="8">
        <v>13</v>
      </c>
      <c r="C101" s="8" t="s">
        <v>77</v>
      </c>
      <c r="D101" s="23">
        <v>975706</v>
      </c>
      <c r="E101" s="8" t="s">
        <v>125</v>
      </c>
    </row>
    <row r="102" spans="1:5" x14ac:dyDescent="0.35">
      <c r="A102" s="8">
        <v>0</v>
      </c>
      <c r="B102" s="8">
        <v>13</v>
      </c>
      <c r="C102" s="8" t="s">
        <v>78</v>
      </c>
      <c r="D102" s="23">
        <v>8000</v>
      </c>
      <c r="E102" s="8" t="s">
        <v>125</v>
      </c>
    </row>
    <row r="103" spans="1:5" x14ac:dyDescent="0.35">
      <c r="A103" s="8">
        <v>0</v>
      </c>
      <c r="B103" s="8">
        <v>13</v>
      </c>
      <c r="C103" s="8" t="s">
        <v>80</v>
      </c>
      <c r="D103" s="23">
        <v>630192</v>
      </c>
      <c r="E103" s="8" t="s">
        <v>125</v>
      </c>
    </row>
    <row r="104" spans="1:5" x14ac:dyDescent="0.35">
      <c r="A104" s="8">
        <v>0</v>
      </c>
      <c r="B104" s="8">
        <v>13</v>
      </c>
      <c r="C104" s="8" t="s">
        <v>63</v>
      </c>
      <c r="D104" s="23">
        <v>0</v>
      </c>
      <c r="E104" s="8" t="s">
        <v>125</v>
      </c>
    </row>
    <row r="105" spans="1:5" x14ac:dyDescent="0.35">
      <c r="A105" s="8">
        <v>0</v>
      </c>
      <c r="B105" s="8">
        <v>13</v>
      </c>
      <c r="C105" s="8" t="s">
        <v>81</v>
      </c>
      <c r="D105" s="23">
        <v>95000</v>
      </c>
      <c r="E105" s="8" t="s">
        <v>125</v>
      </c>
    </row>
    <row r="106" spans="1:5" x14ac:dyDescent="0.35">
      <c r="A106" s="8">
        <v>0</v>
      </c>
      <c r="B106" s="8">
        <v>13</v>
      </c>
      <c r="C106" s="8" t="s">
        <v>82</v>
      </c>
      <c r="D106" s="23">
        <v>0</v>
      </c>
      <c r="E106" s="8" t="s">
        <v>125</v>
      </c>
    </row>
    <row r="107" spans="1:5" x14ac:dyDescent="0.35">
      <c r="A107" s="8">
        <v>0</v>
      </c>
      <c r="B107" s="8">
        <v>13</v>
      </c>
      <c r="C107" s="8" t="s">
        <v>83</v>
      </c>
      <c r="D107" s="23">
        <v>21000</v>
      </c>
      <c r="E107" s="8" t="s">
        <v>125</v>
      </c>
    </row>
    <row r="108" spans="1:5" x14ac:dyDescent="0.35">
      <c r="A108" s="8">
        <v>0</v>
      </c>
      <c r="B108" s="8">
        <v>13</v>
      </c>
      <c r="C108" s="8" t="s">
        <v>84</v>
      </c>
      <c r="D108" s="23">
        <v>0</v>
      </c>
      <c r="E108" s="8" t="s">
        <v>125</v>
      </c>
    </row>
    <row r="109" spans="1:5" x14ac:dyDescent="0.35">
      <c r="A109" s="8">
        <v>1</v>
      </c>
      <c r="B109" s="8">
        <v>2</v>
      </c>
      <c r="C109" s="8" t="s">
        <v>77</v>
      </c>
      <c r="D109" s="23">
        <v>948500</v>
      </c>
      <c r="E109" s="8" t="s">
        <v>125</v>
      </c>
    </row>
    <row r="110" spans="1:5" x14ac:dyDescent="0.35">
      <c r="A110" s="8">
        <v>1</v>
      </c>
      <c r="B110" s="8">
        <v>2</v>
      </c>
      <c r="C110" s="8" t="s">
        <v>78</v>
      </c>
      <c r="D110" s="23">
        <v>8000</v>
      </c>
      <c r="E110" s="8" t="s">
        <v>125</v>
      </c>
    </row>
    <row r="111" spans="1:5" x14ac:dyDescent="0.35">
      <c r="A111" s="8">
        <v>1</v>
      </c>
      <c r="B111" s="8">
        <v>2</v>
      </c>
      <c r="C111" s="8" t="s">
        <v>80</v>
      </c>
      <c r="D111" s="23">
        <v>598078</v>
      </c>
      <c r="E111" s="8" t="s">
        <v>125</v>
      </c>
    </row>
    <row r="112" spans="1:5" x14ac:dyDescent="0.35">
      <c r="A112" s="8">
        <v>1</v>
      </c>
      <c r="B112" s="8">
        <v>2</v>
      </c>
      <c r="C112" s="8" t="s">
        <v>63</v>
      </c>
      <c r="D112" s="23">
        <v>312000</v>
      </c>
      <c r="E112" s="8" t="s">
        <v>125</v>
      </c>
    </row>
    <row r="113" spans="1:5" x14ac:dyDescent="0.35">
      <c r="A113" s="8">
        <v>1</v>
      </c>
      <c r="B113" s="8">
        <v>2</v>
      </c>
      <c r="C113" s="8" t="s">
        <v>81</v>
      </c>
      <c r="D113" s="23">
        <v>95000</v>
      </c>
      <c r="E113" s="8" t="s">
        <v>125</v>
      </c>
    </row>
    <row r="114" spans="1:5" x14ac:dyDescent="0.35">
      <c r="A114" s="8">
        <v>1</v>
      </c>
      <c r="B114" s="8">
        <v>2</v>
      </c>
      <c r="C114" s="8" t="s">
        <v>82</v>
      </c>
      <c r="D114" s="23">
        <v>0</v>
      </c>
      <c r="E114" s="8" t="s">
        <v>125</v>
      </c>
    </row>
    <row r="115" spans="1:5" x14ac:dyDescent="0.35">
      <c r="A115" s="8">
        <v>1</v>
      </c>
      <c r="B115" s="8">
        <v>2</v>
      </c>
      <c r="C115" s="8" t="s">
        <v>83</v>
      </c>
      <c r="D115" s="23">
        <v>21000</v>
      </c>
      <c r="E115" s="8" t="s">
        <v>125</v>
      </c>
    </row>
    <row r="116" spans="1:5" x14ac:dyDescent="0.35">
      <c r="A116" s="8">
        <v>1</v>
      </c>
      <c r="B116" s="8">
        <v>2</v>
      </c>
      <c r="C116" s="8" t="s">
        <v>84</v>
      </c>
      <c r="D116" s="23">
        <v>0</v>
      </c>
      <c r="E116" s="8" t="s">
        <v>125</v>
      </c>
    </row>
    <row r="117" spans="1:5" x14ac:dyDescent="0.35">
      <c r="A117" s="8">
        <v>1</v>
      </c>
      <c r="B117" s="8">
        <v>3</v>
      </c>
      <c r="C117" s="8" t="s">
        <v>77</v>
      </c>
      <c r="D117" s="23">
        <v>967534</v>
      </c>
      <c r="E117" s="8" t="s">
        <v>125</v>
      </c>
    </row>
    <row r="118" spans="1:5" x14ac:dyDescent="0.35">
      <c r="A118" s="8">
        <v>1</v>
      </c>
      <c r="B118" s="8">
        <v>3</v>
      </c>
      <c r="C118" s="8" t="s">
        <v>78</v>
      </c>
      <c r="D118" s="23">
        <v>8000</v>
      </c>
      <c r="E118" s="8" t="s">
        <v>125</v>
      </c>
    </row>
    <row r="119" spans="1:5" x14ac:dyDescent="0.35">
      <c r="A119" s="8">
        <v>1</v>
      </c>
      <c r="B119" s="8">
        <v>3</v>
      </c>
      <c r="C119" s="8" t="s">
        <v>80</v>
      </c>
      <c r="D119" s="23">
        <v>608588</v>
      </c>
      <c r="E119" s="8" t="s">
        <v>125</v>
      </c>
    </row>
    <row r="120" spans="1:5" x14ac:dyDescent="0.35">
      <c r="A120" s="8">
        <v>1</v>
      </c>
      <c r="B120" s="8">
        <v>3</v>
      </c>
      <c r="C120" s="8" t="s">
        <v>63</v>
      </c>
      <c r="D120" s="23">
        <v>0</v>
      </c>
      <c r="E120" s="8" t="s">
        <v>125</v>
      </c>
    </row>
    <row r="121" spans="1:5" x14ac:dyDescent="0.35">
      <c r="A121" s="8">
        <v>1</v>
      </c>
      <c r="B121" s="8">
        <v>3</v>
      </c>
      <c r="C121" s="8" t="s">
        <v>81</v>
      </c>
      <c r="D121" s="23">
        <v>95000</v>
      </c>
      <c r="E121" s="8" t="s">
        <v>125</v>
      </c>
    </row>
    <row r="122" spans="1:5" x14ac:dyDescent="0.35">
      <c r="A122" s="8">
        <v>1</v>
      </c>
      <c r="B122" s="8">
        <v>3</v>
      </c>
      <c r="C122" s="8" t="s">
        <v>82</v>
      </c>
      <c r="D122" s="23">
        <v>0</v>
      </c>
      <c r="E122" s="8" t="s">
        <v>125</v>
      </c>
    </row>
    <row r="123" spans="1:5" x14ac:dyDescent="0.35">
      <c r="A123" s="8">
        <v>1</v>
      </c>
      <c r="B123" s="8">
        <v>3</v>
      </c>
      <c r="C123" s="8" t="s">
        <v>83</v>
      </c>
      <c r="D123" s="23">
        <v>21000</v>
      </c>
      <c r="E123" s="8" t="s">
        <v>125</v>
      </c>
    </row>
    <row r="124" spans="1:5" x14ac:dyDescent="0.35">
      <c r="A124" s="8">
        <v>1</v>
      </c>
      <c r="B124" s="8">
        <v>3</v>
      </c>
      <c r="C124" s="8" t="s">
        <v>84</v>
      </c>
      <c r="D124" s="23">
        <v>0</v>
      </c>
      <c r="E124" s="8" t="s">
        <v>125</v>
      </c>
    </row>
    <row r="125" spans="1:5" x14ac:dyDescent="0.35">
      <c r="A125" s="8">
        <v>1</v>
      </c>
      <c r="B125" s="8">
        <v>4</v>
      </c>
      <c r="C125" s="8" t="s">
        <v>77</v>
      </c>
      <c r="D125" s="23">
        <v>986453</v>
      </c>
      <c r="E125" s="8" t="s">
        <v>125</v>
      </c>
    </row>
    <row r="126" spans="1:5" x14ac:dyDescent="0.35">
      <c r="A126" s="8">
        <v>1</v>
      </c>
      <c r="B126" s="8">
        <v>4</v>
      </c>
      <c r="C126" s="8" t="s">
        <v>78</v>
      </c>
      <c r="D126" s="23">
        <v>8000</v>
      </c>
      <c r="E126" s="8" t="s">
        <v>125</v>
      </c>
    </row>
    <row r="127" spans="1:5" x14ac:dyDescent="0.35">
      <c r="A127" s="8">
        <v>1</v>
      </c>
      <c r="B127" s="8">
        <v>4</v>
      </c>
      <c r="C127" s="8" t="s">
        <v>80</v>
      </c>
      <c r="D127" s="23">
        <v>619513</v>
      </c>
      <c r="E127" s="8" t="s">
        <v>125</v>
      </c>
    </row>
    <row r="128" spans="1:5" x14ac:dyDescent="0.35">
      <c r="A128" s="8">
        <v>1</v>
      </c>
      <c r="B128" s="8">
        <v>4</v>
      </c>
      <c r="C128" s="8" t="s">
        <v>63</v>
      </c>
      <c r="D128" s="23">
        <v>312000</v>
      </c>
      <c r="E128" s="8" t="s">
        <v>125</v>
      </c>
    </row>
    <row r="129" spans="1:5" x14ac:dyDescent="0.35">
      <c r="A129" s="8">
        <v>1</v>
      </c>
      <c r="B129" s="8">
        <v>4</v>
      </c>
      <c r="C129" s="8" t="s">
        <v>81</v>
      </c>
      <c r="D129" s="23">
        <v>95000</v>
      </c>
      <c r="E129" s="8" t="s">
        <v>125</v>
      </c>
    </row>
    <row r="130" spans="1:5" x14ac:dyDescent="0.35">
      <c r="A130" s="8">
        <v>1</v>
      </c>
      <c r="B130" s="8">
        <v>4</v>
      </c>
      <c r="C130" s="8" t="s">
        <v>82</v>
      </c>
      <c r="D130" s="23">
        <v>0</v>
      </c>
      <c r="E130" s="8" t="s">
        <v>125</v>
      </c>
    </row>
    <row r="131" spans="1:5" x14ac:dyDescent="0.35">
      <c r="A131" s="8">
        <v>1</v>
      </c>
      <c r="B131" s="8">
        <v>4</v>
      </c>
      <c r="C131" s="8" t="s">
        <v>83</v>
      </c>
      <c r="D131" s="23">
        <v>21000</v>
      </c>
      <c r="E131" s="8" t="s">
        <v>125</v>
      </c>
    </row>
    <row r="132" spans="1:5" x14ac:dyDescent="0.35">
      <c r="A132" s="8">
        <v>1</v>
      </c>
      <c r="B132" s="8">
        <v>4</v>
      </c>
      <c r="C132" s="8" t="s">
        <v>84</v>
      </c>
      <c r="D132" s="23">
        <v>0</v>
      </c>
      <c r="E132" s="8" t="s">
        <v>125</v>
      </c>
    </row>
    <row r="133" spans="1:5" x14ac:dyDescent="0.35">
      <c r="A133" s="8">
        <v>1</v>
      </c>
      <c r="B133" s="8">
        <v>5</v>
      </c>
      <c r="C133" s="8" t="s">
        <v>77</v>
      </c>
      <c r="D133" s="23">
        <v>1000527</v>
      </c>
      <c r="E133" s="8" t="s">
        <v>125</v>
      </c>
    </row>
    <row r="134" spans="1:5" x14ac:dyDescent="0.35">
      <c r="A134" s="8">
        <v>1</v>
      </c>
      <c r="B134" s="8">
        <v>5</v>
      </c>
      <c r="C134" s="8" t="s">
        <v>78</v>
      </c>
      <c r="D134" s="23">
        <v>8000</v>
      </c>
      <c r="E134" s="8" t="s">
        <v>125</v>
      </c>
    </row>
    <row r="135" spans="1:5" x14ac:dyDescent="0.35">
      <c r="A135" s="8">
        <v>1</v>
      </c>
      <c r="B135" s="8">
        <v>5</v>
      </c>
      <c r="C135" s="8" t="s">
        <v>80</v>
      </c>
      <c r="D135" s="23">
        <v>629908</v>
      </c>
      <c r="E135" s="8" t="s">
        <v>125</v>
      </c>
    </row>
    <row r="136" spans="1:5" x14ac:dyDescent="0.35">
      <c r="A136" s="8">
        <v>1</v>
      </c>
      <c r="B136" s="8">
        <v>5</v>
      </c>
      <c r="C136" s="8" t="s">
        <v>63</v>
      </c>
      <c r="D136" s="23">
        <v>0</v>
      </c>
      <c r="E136" s="8" t="s">
        <v>125</v>
      </c>
    </row>
    <row r="137" spans="1:5" x14ac:dyDescent="0.35">
      <c r="A137" s="8">
        <v>1</v>
      </c>
      <c r="B137" s="8">
        <v>5</v>
      </c>
      <c r="C137" s="8" t="s">
        <v>81</v>
      </c>
      <c r="D137" s="23">
        <v>95000</v>
      </c>
      <c r="E137" s="8" t="s">
        <v>125</v>
      </c>
    </row>
    <row r="138" spans="1:5" x14ac:dyDescent="0.35">
      <c r="A138" s="8">
        <v>1</v>
      </c>
      <c r="B138" s="8">
        <v>5</v>
      </c>
      <c r="C138" s="8" t="s">
        <v>82</v>
      </c>
      <c r="D138" s="23">
        <v>0</v>
      </c>
      <c r="E138" s="8" t="s">
        <v>125</v>
      </c>
    </row>
    <row r="139" spans="1:5" x14ac:dyDescent="0.35">
      <c r="A139" s="8">
        <v>1</v>
      </c>
      <c r="B139" s="8">
        <v>5</v>
      </c>
      <c r="C139" s="8" t="s">
        <v>83</v>
      </c>
      <c r="D139" s="23">
        <v>21000</v>
      </c>
      <c r="E139" s="8" t="s">
        <v>125</v>
      </c>
    </row>
    <row r="140" spans="1:5" x14ac:dyDescent="0.35">
      <c r="A140" s="8">
        <v>1</v>
      </c>
      <c r="B140" s="8">
        <v>5</v>
      </c>
      <c r="C140" s="8" t="s">
        <v>84</v>
      </c>
      <c r="D140" s="23">
        <v>0</v>
      </c>
      <c r="E140" s="8" t="s">
        <v>125</v>
      </c>
    </row>
    <row r="141" spans="1:5" x14ac:dyDescent="0.35">
      <c r="A141" s="8">
        <v>1</v>
      </c>
      <c r="B141" s="8">
        <v>6</v>
      </c>
      <c r="C141" s="8" t="s">
        <v>77</v>
      </c>
      <c r="D141" s="23">
        <v>1015933</v>
      </c>
      <c r="E141" s="8" t="s">
        <v>125</v>
      </c>
    </row>
    <row r="142" spans="1:5" x14ac:dyDescent="0.35">
      <c r="A142" s="8">
        <v>1</v>
      </c>
      <c r="B142" s="8">
        <v>6</v>
      </c>
      <c r="C142" s="8" t="s">
        <v>78</v>
      </c>
      <c r="D142" s="23">
        <v>8000</v>
      </c>
      <c r="E142" s="8" t="s">
        <v>125</v>
      </c>
    </row>
    <row r="143" spans="1:5" x14ac:dyDescent="0.35">
      <c r="A143" s="8">
        <v>1</v>
      </c>
      <c r="B143" s="8">
        <v>6</v>
      </c>
      <c r="C143" s="8" t="s">
        <v>80</v>
      </c>
      <c r="D143" s="23">
        <v>639042</v>
      </c>
      <c r="E143" s="8" t="s">
        <v>125</v>
      </c>
    </row>
    <row r="144" spans="1:5" x14ac:dyDescent="0.35">
      <c r="A144" s="8">
        <v>1</v>
      </c>
      <c r="B144" s="8">
        <v>6</v>
      </c>
      <c r="C144" s="8" t="s">
        <v>63</v>
      </c>
      <c r="D144" s="23">
        <v>318000</v>
      </c>
      <c r="E144" s="8" t="s">
        <v>125</v>
      </c>
    </row>
    <row r="145" spans="1:5" x14ac:dyDescent="0.35">
      <c r="A145" s="8">
        <v>1</v>
      </c>
      <c r="B145" s="8">
        <v>6</v>
      </c>
      <c r="C145" s="8" t="s">
        <v>81</v>
      </c>
      <c r="D145" s="23">
        <v>95000</v>
      </c>
      <c r="E145" s="8" t="s">
        <v>125</v>
      </c>
    </row>
    <row r="146" spans="1:5" x14ac:dyDescent="0.35">
      <c r="A146" s="8">
        <v>1</v>
      </c>
      <c r="B146" s="8">
        <v>6</v>
      </c>
      <c r="C146" s="8" t="s">
        <v>82</v>
      </c>
      <c r="D146" s="23">
        <v>0</v>
      </c>
      <c r="E146" s="8" t="s">
        <v>125</v>
      </c>
    </row>
    <row r="147" spans="1:5" x14ac:dyDescent="0.35">
      <c r="A147" s="8">
        <v>1</v>
      </c>
      <c r="B147" s="8">
        <v>6</v>
      </c>
      <c r="C147" s="8" t="s">
        <v>83</v>
      </c>
      <c r="D147" s="23">
        <v>21000</v>
      </c>
      <c r="E147" s="8" t="s">
        <v>125</v>
      </c>
    </row>
    <row r="148" spans="1:5" x14ac:dyDescent="0.35">
      <c r="A148" s="8">
        <v>1</v>
      </c>
      <c r="B148" s="8">
        <v>6</v>
      </c>
      <c r="C148" s="8" t="s">
        <v>84</v>
      </c>
      <c r="D148" s="23">
        <v>0</v>
      </c>
      <c r="E148" s="8" t="s">
        <v>125</v>
      </c>
    </row>
    <row r="149" spans="1:5" x14ac:dyDescent="0.35">
      <c r="A149" s="8">
        <v>1</v>
      </c>
      <c r="B149" s="8">
        <v>7</v>
      </c>
      <c r="C149" s="8" t="s">
        <v>77</v>
      </c>
      <c r="D149" s="23">
        <v>1030296</v>
      </c>
      <c r="E149" s="8" t="s">
        <v>125</v>
      </c>
    </row>
    <row r="150" spans="1:5" x14ac:dyDescent="0.35">
      <c r="A150" s="8">
        <v>1</v>
      </c>
      <c r="B150" s="8">
        <v>7</v>
      </c>
      <c r="C150" s="8" t="s">
        <v>78</v>
      </c>
      <c r="D150" s="23">
        <v>8000</v>
      </c>
      <c r="E150" s="8" t="s">
        <v>125</v>
      </c>
    </row>
    <row r="151" spans="1:5" x14ac:dyDescent="0.35">
      <c r="A151" s="8">
        <v>1</v>
      </c>
      <c r="B151" s="8">
        <v>7</v>
      </c>
      <c r="C151" s="8" t="s">
        <v>80</v>
      </c>
      <c r="D151" s="23">
        <v>647840</v>
      </c>
      <c r="E151" s="8" t="s">
        <v>125</v>
      </c>
    </row>
    <row r="152" spans="1:5" x14ac:dyDescent="0.35">
      <c r="A152" s="8">
        <v>1</v>
      </c>
      <c r="B152" s="8">
        <v>7</v>
      </c>
      <c r="C152" s="8" t="s">
        <v>63</v>
      </c>
      <c r="D152" s="23">
        <v>0</v>
      </c>
      <c r="E152" s="8" t="s">
        <v>125</v>
      </c>
    </row>
    <row r="153" spans="1:5" x14ac:dyDescent="0.35">
      <c r="A153" s="8">
        <v>1</v>
      </c>
      <c r="B153" s="8">
        <v>7</v>
      </c>
      <c r="C153" s="8" t="s">
        <v>81</v>
      </c>
      <c r="D153" s="23">
        <v>95000</v>
      </c>
      <c r="E153" s="8" t="s">
        <v>125</v>
      </c>
    </row>
    <row r="154" spans="1:5" x14ac:dyDescent="0.35">
      <c r="A154" s="8">
        <v>1</v>
      </c>
      <c r="B154" s="8">
        <v>7</v>
      </c>
      <c r="C154" s="8" t="s">
        <v>82</v>
      </c>
      <c r="D154" s="23">
        <v>240000</v>
      </c>
      <c r="E154" s="8" t="s">
        <v>125</v>
      </c>
    </row>
    <row r="155" spans="1:5" x14ac:dyDescent="0.35">
      <c r="A155" s="8">
        <v>1</v>
      </c>
      <c r="B155" s="8">
        <v>7</v>
      </c>
      <c r="C155" s="8" t="s">
        <v>83</v>
      </c>
      <c r="D155" s="23">
        <v>21000</v>
      </c>
      <c r="E155" s="8" t="s">
        <v>125</v>
      </c>
    </row>
    <row r="156" spans="1:5" x14ac:dyDescent="0.35">
      <c r="A156" s="8">
        <v>1</v>
      </c>
      <c r="B156" s="8">
        <v>7</v>
      </c>
      <c r="C156" s="8" t="s">
        <v>84</v>
      </c>
      <c r="D156" s="23">
        <v>0</v>
      </c>
      <c r="E156" s="8" t="s">
        <v>125</v>
      </c>
    </row>
    <row r="157" spans="1:5" x14ac:dyDescent="0.35">
      <c r="A157" s="8">
        <v>1</v>
      </c>
      <c r="B157" s="8">
        <v>8</v>
      </c>
      <c r="C157" s="8" t="s">
        <v>77</v>
      </c>
      <c r="D157" s="23">
        <v>1042083</v>
      </c>
      <c r="E157" s="8" t="s">
        <v>125</v>
      </c>
    </row>
    <row r="158" spans="1:5" x14ac:dyDescent="0.35">
      <c r="A158" s="8">
        <v>1</v>
      </c>
      <c r="B158" s="8">
        <v>8</v>
      </c>
      <c r="C158" s="8" t="s">
        <v>78</v>
      </c>
      <c r="D158" s="23">
        <v>8000</v>
      </c>
      <c r="E158" s="8" t="s">
        <v>125</v>
      </c>
    </row>
    <row r="159" spans="1:5" x14ac:dyDescent="0.35">
      <c r="A159" s="8">
        <v>1</v>
      </c>
      <c r="B159" s="8">
        <v>8</v>
      </c>
      <c r="C159" s="8" t="s">
        <v>80</v>
      </c>
      <c r="D159" s="23">
        <v>656357</v>
      </c>
      <c r="E159" s="8" t="s">
        <v>125</v>
      </c>
    </row>
    <row r="160" spans="1:5" x14ac:dyDescent="0.35">
      <c r="A160" s="8">
        <v>1</v>
      </c>
      <c r="B160" s="8">
        <v>8</v>
      </c>
      <c r="C160" s="8" t="s">
        <v>63</v>
      </c>
      <c r="D160" s="23">
        <v>318000</v>
      </c>
      <c r="E160" s="8" t="s">
        <v>125</v>
      </c>
    </row>
    <row r="161" spans="1:5" x14ac:dyDescent="0.35">
      <c r="A161" s="8">
        <v>1</v>
      </c>
      <c r="B161" s="8">
        <v>8</v>
      </c>
      <c r="C161" s="8" t="s">
        <v>81</v>
      </c>
      <c r="D161" s="23">
        <v>95000</v>
      </c>
      <c r="E161" s="8" t="s">
        <v>125</v>
      </c>
    </row>
    <row r="162" spans="1:5" x14ac:dyDescent="0.35">
      <c r="A162" s="8">
        <v>1</v>
      </c>
      <c r="B162" s="8">
        <v>8</v>
      </c>
      <c r="C162" s="8" t="s">
        <v>82</v>
      </c>
      <c r="D162" s="23">
        <v>0</v>
      </c>
      <c r="E162" s="8" t="s">
        <v>125</v>
      </c>
    </row>
    <row r="163" spans="1:5" x14ac:dyDescent="0.35">
      <c r="A163" s="8">
        <v>1</v>
      </c>
      <c r="B163" s="8">
        <v>8</v>
      </c>
      <c r="C163" s="8" t="s">
        <v>83</v>
      </c>
      <c r="D163" s="23">
        <v>21000</v>
      </c>
      <c r="E163" s="8" t="s">
        <v>125</v>
      </c>
    </row>
    <row r="164" spans="1:5" x14ac:dyDescent="0.35">
      <c r="A164" s="8">
        <v>1</v>
      </c>
      <c r="B164" s="8">
        <v>8</v>
      </c>
      <c r="C164" s="8" t="s">
        <v>84</v>
      </c>
      <c r="D164" s="23">
        <v>0</v>
      </c>
      <c r="E164" s="8" t="s">
        <v>125</v>
      </c>
    </row>
    <row r="165" spans="1:5" x14ac:dyDescent="0.35">
      <c r="A165" s="8">
        <v>1</v>
      </c>
      <c r="B165" s="8">
        <v>9</v>
      </c>
      <c r="C165" s="8" t="s">
        <v>77</v>
      </c>
      <c r="D165" s="23">
        <v>1048734</v>
      </c>
      <c r="E165" s="8" t="s">
        <v>125</v>
      </c>
    </row>
    <row r="166" spans="1:5" x14ac:dyDescent="0.35">
      <c r="A166" s="8">
        <v>1</v>
      </c>
      <c r="B166" s="8">
        <v>9</v>
      </c>
      <c r="C166" s="8" t="s">
        <v>78</v>
      </c>
      <c r="D166" s="23">
        <v>8000</v>
      </c>
      <c r="E166" s="8" t="s">
        <v>125</v>
      </c>
    </row>
    <row r="167" spans="1:5" x14ac:dyDescent="0.35">
      <c r="A167" s="8">
        <v>1</v>
      </c>
      <c r="B167" s="8">
        <v>9</v>
      </c>
      <c r="C167" s="8" t="s">
        <v>80</v>
      </c>
      <c r="D167" s="23">
        <v>662708</v>
      </c>
      <c r="E167" s="8" t="s">
        <v>125</v>
      </c>
    </row>
    <row r="168" spans="1:5" x14ac:dyDescent="0.35">
      <c r="A168" s="8">
        <v>1</v>
      </c>
      <c r="B168" s="8">
        <v>9</v>
      </c>
      <c r="C168" s="8" t="s">
        <v>63</v>
      </c>
      <c r="D168" s="23">
        <v>0</v>
      </c>
      <c r="E168" s="8" t="s">
        <v>125</v>
      </c>
    </row>
    <row r="169" spans="1:5" x14ac:dyDescent="0.35">
      <c r="A169" s="8">
        <v>1</v>
      </c>
      <c r="B169" s="8">
        <v>9</v>
      </c>
      <c r="C169" s="8" t="s">
        <v>81</v>
      </c>
      <c r="D169" s="23">
        <v>95000</v>
      </c>
      <c r="E169" s="8" t="s">
        <v>125</v>
      </c>
    </row>
    <row r="170" spans="1:5" x14ac:dyDescent="0.35">
      <c r="A170" s="8">
        <v>1</v>
      </c>
      <c r="B170" s="8">
        <v>9</v>
      </c>
      <c r="C170" s="8" t="s">
        <v>82</v>
      </c>
      <c r="D170" s="23">
        <v>0</v>
      </c>
      <c r="E170" s="8" t="s">
        <v>125</v>
      </c>
    </row>
    <row r="171" spans="1:5" x14ac:dyDescent="0.35">
      <c r="A171" s="8">
        <v>1</v>
      </c>
      <c r="B171" s="8">
        <v>9</v>
      </c>
      <c r="C171" s="8" t="s">
        <v>83</v>
      </c>
      <c r="D171" s="23">
        <v>21000</v>
      </c>
      <c r="E171" s="8" t="s">
        <v>125</v>
      </c>
    </row>
    <row r="172" spans="1:5" x14ac:dyDescent="0.35">
      <c r="A172" s="8">
        <v>1</v>
      </c>
      <c r="B172" s="8">
        <v>9</v>
      </c>
      <c r="C172" s="8" t="s">
        <v>84</v>
      </c>
      <c r="D172" s="23">
        <v>0</v>
      </c>
      <c r="E172" s="8" t="s">
        <v>125</v>
      </c>
    </row>
    <row r="173" spans="1:5" x14ac:dyDescent="0.35">
      <c r="A173" s="8">
        <v>1</v>
      </c>
      <c r="B173" s="8">
        <v>10</v>
      </c>
      <c r="C173" s="8" t="s">
        <v>77</v>
      </c>
      <c r="D173" s="23">
        <v>1056137</v>
      </c>
      <c r="E173" s="8" t="s">
        <v>125</v>
      </c>
    </row>
    <row r="174" spans="1:5" x14ac:dyDescent="0.35">
      <c r="A174" s="8">
        <v>1</v>
      </c>
      <c r="B174" s="8">
        <v>10</v>
      </c>
      <c r="C174" s="8" t="s">
        <v>78</v>
      </c>
      <c r="D174" s="23">
        <v>8000</v>
      </c>
      <c r="E174" s="8" t="s">
        <v>125</v>
      </c>
    </row>
    <row r="175" spans="1:5" x14ac:dyDescent="0.35">
      <c r="A175" s="8">
        <v>1</v>
      </c>
      <c r="B175" s="8">
        <v>10</v>
      </c>
      <c r="C175" s="8" t="s">
        <v>80</v>
      </c>
      <c r="D175" s="23">
        <v>666251</v>
      </c>
      <c r="E175" s="8" t="s">
        <v>125</v>
      </c>
    </row>
    <row r="176" spans="1:5" x14ac:dyDescent="0.35">
      <c r="A176" s="8">
        <v>1</v>
      </c>
      <c r="B176" s="8">
        <v>10</v>
      </c>
      <c r="C176" s="8" t="s">
        <v>63</v>
      </c>
      <c r="D176" s="23">
        <v>318000</v>
      </c>
      <c r="E176" s="8" t="s">
        <v>125</v>
      </c>
    </row>
    <row r="177" spans="1:5" x14ac:dyDescent="0.35">
      <c r="A177" s="8">
        <v>1</v>
      </c>
      <c r="B177" s="8">
        <v>10</v>
      </c>
      <c r="C177" s="8" t="s">
        <v>81</v>
      </c>
      <c r="D177" s="23">
        <v>95000</v>
      </c>
      <c r="E177" s="8" t="s">
        <v>125</v>
      </c>
    </row>
    <row r="178" spans="1:5" x14ac:dyDescent="0.35">
      <c r="A178" s="8">
        <v>1</v>
      </c>
      <c r="B178" s="8">
        <v>10</v>
      </c>
      <c r="C178" s="8" t="s">
        <v>82</v>
      </c>
      <c r="D178" s="23">
        <v>85000</v>
      </c>
      <c r="E178" s="8" t="s">
        <v>125</v>
      </c>
    </row>
    <row r="179" spans="1:5" x14ac:dyDescent="0.35">
      <c r="A179" s="8">
        <v>1</v>
      </c>
      <c r="B179" s="8">
        <v>10</v>
      </c>
      <c r="C179" s="8" t="s">
        <v>83</v>
      </c>
      <c r="D179" s="23">
        <v>21000</v>
      </c>
      <c r="E179" s="8" t="s">
        <v>125</v>
      </c>
    </row>
    <row r="180" spans="1:5" x14ac:dyDescent="0.35">
      <c r="A180" s="8">
        <v>1</v>
      </c>
      <c r="B180" s="8">
        <v>10</v>
      </c>
      <c r="C180" s="8" t="s">
        <v>84</v>
      </c>
      <c r="D180" s="23">
        <v>0</v>
      </c>
      <c r="E180" s="8" t="s">
        <v>125</v>
      </c>
    </row>
    <row r="181" spans="1:5" x14ac:dyDescent="0.35">
      <c r="A181" s="8">
        <v>1</v>
      </c>
      <c r="B181" s="8">
        <v>11</v>
      </c>
      <c r="C181" s="8" t="s">
        <v>77</v>
      </c>
      <c r="D181" s="23">
        <v>1047299</v>
      </c>
      <c r="E181" s="8" t="s">
        <v>125</v>
      </c>
    </row>
    <row r="182" spans="1:5" x14ac:dyDescent="0.35">
      <c r="A182" s="8">
        <v>1</v>
      </c>
      <c r="B182" s="8">
        <v>11</v>
      </c>
      <c r="C182" s="8" t="s">
        <v>78</v>
      </c>
      <c r="D182" s="23">
        <v>8000</v>
      </c>
      <c r="E182" s="8" t="s">
        <v>125</v>
      </c>
    </row>
    <row r="183" spans="1:5" x14ac:dyDescent="0.35">
      <c r="A183" s="8">
        <v>1</v>
      </c>
      <c r="B183" s="8">
        <v>11</v>
      </c>
      <c r="C183" s="8" t="s">
        <v>80</v>
      </c>
      <c r="D183" s="23">
        <v>665369</v>
      </c>
      <c r="E183" s="8" t="s">
        <v>125</v>
      </c>
    </row>
    <row r="184" spans="1:5" x14ac:dyDescent="0.35">
      <c r="A184" s="8">
        <v>1</v>
      </c>
      <c r="B184" s="8">
        <v>11</v>
      </c>
      <c r="C184" s="8" t="s">
        <v>63</v>
      </c>
      <c r="D184" s="23">
        <v>0</v>
      </c>
      <c r="E184" s="8" t="s">
        <v>125</v>
      </c>
    </row>
    <row r="185" spans="1:5" x14ac:dyDescent="0.35">
      <c r="A185" s="8">
        <v>1</v>
      </c>
      <c r="B185" s="8">
        <v>11</v>
      </c>
      <c r="C185" s="8" t="s">
        <v>81</v>
      </c>
      <c r="D185" s="23">
        <v>275000</v>
      </c>
      <c r="E185" s="8" t="s">
        <v>125</v>
      </c>
    </row>
    <row r="186" spans="1:5" x14ac:dyDescent="0.35">
      <c r="A186" s="8">
        <v>1</v>
      </c>
      <c r="B186" s="8">
        <v>11</v>
      </c>
      <c r="C186" s="8" t="s">
        <v>82</v>
      </c>
      <c r="D186" s="23">
        <v>0</v>
      </c>
      <c r="E186" s="8" t="s">
        <v>125</v>
      </c>
    </row>
    <row r="187" spans="1:5" x14ac:dyDescent="0.35">
      <c r="A187" s="8">
        <v>1</v>
      </c>
      <c r="B187" s="8">
        <v>11</v>
      </c>
      <c r="C187" s="8" t="s">
        <v>83</v>
      </c>
      <c r="D187" s="23">
        <v>21000</v>
      </c>
      <c r="E187" s="8" t="s">
        <v>125</v>
      </c>
    </row>
    <row r="188" spans="1:5" x14ac:dyDescent="0.35">
      <c r="A188" s="8">
        <v>1</v>
      </c>
      <c r="B188" s="8">
        <v>11</v>
      </c>
      <c r="C188" s="8" t="s">
        <v>84</v>
      </c>
      <c r="D188" s="23">
        <v>0</v>
      </c>
      <c r="E188" s="8" t="s">
        <v>125</v>
      </c>
    </row>
    <row r="189" spans="1:5" x14ac:dyDescent="0.35">
      <c r="A189" s="8">
        <v>1</v>
      </c>
      <c r="B189" s="8">
        <v>12</v>
      </c>
      <c r="C189" s="8" t="s">
        <v>77</v>
      </c>
      <c r="D189" s="23">
        <v>1017108</v>
      </c>
      <c r="E189" s="8" t="s">
        <v>125</v>
      </c>
    </row>
    <row r="190" spans="1:5" x14ac:dyDescent="0.35">
      <c r="A190" s="8">
        <v>1</v>
      </c>
      <c r="B190" s="8">
        <v>12</v>
      </c>
      <c r="C190" s="8" t="s">
        <v>78</v>
      </c>
      <c r="D190" s="23">
        <v>8000</v>
      </c>
      <c r="E190" s="8" t="s">
        <v>125</v>
      </c>
    </row>
    <row r="191" spans="1:5" x14ac:dyDescent="0.35">
      <c r="A191" s="8">
        <v>1</v>
      </c>
      <c r="B191" s="8">
        <v>12</v>
      </c>
      <c r="C191" s="8" t="s">
        <v>80</v>
      </c>
      <c r="D191" s="23">
        <v>654317</v>
      </c>
      <c r="E191" s="8" t="s">
        <v>125</v>
      </c>
    </row>
    <row r="192" spans="1:5" x14ac:dyDescent="0.35">
      <c r="A192" s="8">
        <v>1</v>
      </c>
      <c r="B192" s="8">
        <v>12</v>
      </c>
      <c r="C192" s="8" t="s">
        <v>63</v>
      </c>
      <c r="D192" s="23">
        <v>318000</v>
      </c>
      <c r="E192" s="8" t="s">
        <v>125</v>
      </c>
    </row>
    <row r="193" spans="1:5" x14ac:dyDescent="0.35">
      <c r="A193" s="8">
        <v>1</v>
      </c>
      <c r="B193" s="8">
        <v>12</v>
      </c>
      <c r="C193" s="8" t="s">
        <v>81</v>
      </c>
      <c r="D193" s="23">
        <v>95000</v>
      </c>
      <c r="E193" s="8" t="s">
        <v>125</v>
      </c>
    </row>
    <row r="194" spans="1:5" x14ac:dyDescent="0.35">
      <c r="A194" s="8">
        <v>1</v>
      </c>
      <c r="B194" s="8">
        <v>12</v>
      </c>
      <c r="C194" s="8" t="s">
        <v>82</v>
      </c>
      <c r="D194" s="23">
        <v>150000</v>
      </c>
      <c r="E194" s="8" t="s">
        <v>125</v>
      </c>
    </row>
    <row r="195" spans="1:5" x14ac:dyDescent="0.35">
      <c r="A195" s="8">
        <v>1</v>
      </c>
      <c r="B195" s="8">
        <v>12</v>
      </c>
      <c r="C195" s="8" t="s">
        <v>83</v>
      </c>
      <c r="D195" s="23">
        <v>21000</v>
      </c>
      <c r="E195" s="8" t="s">
        <v>125</v>
      </c>
    </row>
    <row r="196" spans="1:5" x14ac:dyDescent="0.35">
      <c r="A196" s="8">
        <v>1</v>
      </c>
      <c r="B196" s="8">
        <v>12</v>
      </c>
      <c r="C196" s="8" t="s">
        <v>84</v>
      </c>
      <c r="D196" s="23">
        <v>310000</v>
      </c>
      <c r="E196" s="8" t="s">
        <v>125</v>
      </c>
    </row>
    <row r="197" spans="1:5" x14ac:dyDescent="0.35">
      <c r="A197" s="8">
        <v>1</v>
      </c>
      <c r="B197" s="8">
        <v>13</v>
      </c>
      <c r="C197" s="8" t="s">
        <v>77</v>
      </c>
      <c r="D197" s="23">
        <v>975706</v>
      </c>
      <c r="E197" s="8" t="s">
        <v>125</v>
      </c>
    </row>
    <row r="198" spans="1:5" x14ac:dyDescent="0.35">
      <c r="A198" s="8">
        <v>1</v>
      </c>
      <c r="B198" s="8">
        <v>13</v>
      </c>
      <c r="C198" s="8" t="s">
        <v>78</v>
      </c>
      <c r="D198" s="23">
        <v>8000</v>
      </c>
      <c r="E198" s="8" t="s">
        <v>125</v>
      </c>
    </row>
    <row r="199" spans="1:5" x14ac:dyDescent="0.35">
      <c r="A199" s="8">
        <v>1</v>
      </c>
      <c r="B199" s="8">
        <v>13</v>
      </c>
      <c r="C199" s="8" t="s">
        <v>80</v>
      </c>
      <c r="D199" s="23">
        <v>630192</v>
      </c>
      <c r="E199" s="8" t="s">
        <v>125</v>
      </c>
    </row>
    <row r="200" spans="1:5" x14ac:dyDescent="0.35">
      <c r="A200" s="8">
        <v>1</v>
      </c>
      <c r="B200" s="8">
        <v>13</v>
      </c>
      <c r="C200" s="8" t="s">
        <v>63</v>
      </c>
      <c r="D200" s="23">
        <v>0</v>
      </c>
      <c r="E200" s="8" t="s">
        <v>125</v>
      </c>
    </row>
    <row r="201" spans="1:5" x14ac:dyDescent="0.35">
      <c r="A201" s="8">
        <v>1</v>
      </c>
      <c r="B201" s="8">
        <v>13</v>
      </c>
      <c r="C201" s="8" t="s">
        <v>81</v>
      </c>
      <c r="D201" s="23">
        <v>95000</v>
      </c>
      <c r="E201" s="8" t="s">
        <v>125</v>
      </c>
    </row>
    <row r="202" spans="1:5" x14ac:dyDescent="0.35">
      <c r="A202" s="8">
        <v>1</v>
      </c>
      <c r="B202" s="8">
        <v>13</v>
      </c>
      <c r="C202" s="8" t="s">
        <v>82</v>
      </c>
      <c r="D202" s="23">
        <v>0</v>
      </c>
      <c r="E202" s="8" t="s">
        <v>125</v>
      </c>
    </row>
    <row r="203" spans="1:5" x14ac:dyDescent="0.35">
      <c r="A203" s="8">
        <v>1</v>
      </c>
      <c r="B203" s="8">
        <v>13</v>
      </c>
      <c r="C203" s="8" t="s">
        <v>83</v>
      </c>
      <c r="D203" s="23">
        <v>21000</v>
      </c>
      <c r="E203" s="8" t="s">
        <v>125</v>
      </c>
    </row>
    <row r="204" spans="1:5" x14ac:dyDescent="0.35">
      <c r="A204" s="8">
        <v>1</v>
      </c>
      <c r="B204" s="8">
        <v>13</v>
      </c>
      <c r="C204" s="8" t="s">
        <v>84</v>
      </c>
      <c r="D204" s="23">
        <v>0</v>
      </c>
      <c r="E204" s="8" t="s">
        <v>125</v>
      </c>
    </row>
    <row r="205" spans="1:5" x14ac:dyDescent="0.35">
      <c r="A205" s="8">
        <v>1</v>
      </c>
      <c r="B205" s="8">
        <v>14</v>
      </c>
      <c r="C205" s="8" t="s">
        <v>77</v>
      </c>
      <c r="D205" s="23">
        <v>929301</v>
      </c>
      <c r="E205" s="8" t="s">
        <v>125</v>
      </c>
    </row>
    <row r="206" spans="1:5" x14ac:dyDescent="0.35">
      <c r="A206" s="8">
        <v>1</v>
      </c>
      <c r="B206" s="8">
        <v>14</v>
      </c>
      <c r="C206" s="8" t="s">
        <v>78</v>
      </c>
      <c r="D206" s="23">
        <v>8000</v>
      </c>
      <c r="E206" s="8" t="s">
        <v>125</v>
      </c>
    </row>
    <row r="207" spans="1:5" x14ac:dyDescent="0.35">
      <c r="A207" s="8">
        <v>1</v>
      </c>
      <c r="B207" s="8">
        <v>14</v>
      </c>
      <c r="C207" s="8" t="s">
        <v>80</v>
      </c>
      <c r="D207" s="23">
        <v>599922</v>
      </c>
      <c r="E207" s="8" t="s">
        <v>125</v>
      </c>
    </row>
    <row r="208" spans="1:5" x14ac:dyDescent="0.35">
      <c r="A208" s="8">
        <v>1</v>
      </c>
      <c r="B208" s="8">
        <v>14</v>
      </c>
      <c r="C208" s="8" t="s">
        <v>63</v>
      </c>
      <c r="D208" s="23">
        <v>318000</v>
      </c>
      <c r="E208" s="8" t="s">
        <v>125</v>
      </c>
    </row>
    <row r="209" spans="1:5" x14ac:dyDescent="0.35">
      <c r="A209" s="8">
        <v>1</v>
      </c>
      <c r="B209" s="8">
        <v>14</v>
      </c>
      <c r="C209" s="8" t="s">
        <v>81</v>
      </c>
      <c r="D209" s="23">
        <v>95000</v>
      </c>
      <c r="E209" s="8" t="s">
        <v>125</v>
      </c>
    </row>
    <row r="210" spans="1:5" x14ac:dyDescent="0.35">
      <c r="A210" s="8">
        <v>1</v>
      </c>
      <c r="B210" s="8">
        <v>14</v>
      </c>
      <c r="C210" s="8" t="s">
        <v>82</v>
      </c>
      <c r="D210" s="23">
        <v>0</v>
      </c>
      <c r="E210" s="8" t="s">
        <v>125</v>
      </c>
    </row>
    <row r="211" spans="1:5" x14ac:dyDescent="0.35">
      <c r="A211" s="8">
        <v>1</v>
      </c>
      <c r="B211" s="8">
        <v>14</v>
      </c>
      <c r="C211" s="8" t="s">
        <v>83</v>
      </c>
      <c r="D211" s="23">
        <v>21000</v>
      </c>
      <c r="E211" s="8" t="s">
        <v>125</v>
      </c>
    </row>
    <row r="212" spans="1:5" x14ac:dyDescent="0.35">
      <c r="A212" s="8">
        <v>1</v>
      </c>
      <c r="B212" s="8">
        <v>14</v>
      </c>
      <c r="C212" s="8" t="s">
        <v>84</v>
      </c>
      <c r="D212" s="23">
        <v>0</v>
      </c>
      <c r="E212" s="8" t="s">
        <v>125</v>
      </c>
    </row>
    <row r="213" spans="1:5" x14ac:dyDescent="0.35">
      <c r="A213" s="8">
        <v>2</v>
      </c>
      <c r="B213" s="8">
        <v>3</v>
      </c>
      <c r="C213" s="8" t="s">
        <v>77</v>
      </c>
      <c r="D213" s="23">
        <v>970309</v>
      </c>
      <c r="E213" s="8" t="s">
        <v>125</v>
      </c>
    </row>
    <row r="214" spans="1:5" x14ac:dyDescent="0.35">
      <c r="A214" s="8">
        <v>2</v>
      </c>
      <c r="B214" s="8">
        <v>3</v>
      </c>
      <c r="C214" s="8" t="s">
        <v>78</v>
      </c>
      <c r="D214" s="23">
        <v>8000</v>
      </c>
      <c r="E214" s="8" t="s">
        <v>125</v>
      </c>
    </row>
    <row r="215" spans="1:5" x14ac:dyDescent="0.35">
      <c r="A215" s="8">
        <v>2</v>
      </c>
      <c r="B215" s="8">
        <v>3</v>
      </c>
      <c r="C215" s="8" t="s">
        <v>80</v>
      </c>
      <c r="D215" s="23">
        <v>612278</v>
      </c>
      <c r="E215" s="8" t="s">
        <v>125</v>
      </c>
    </row>
    <row r="216" spans="1:5" x14ac:dyDescent="0.35">
      <c r="A216" s="8">
        <v>2</v>
      </c>
      <c r="B216" s="8">
        <v>3</v>
      </c>
      <c r="C216" s="8" t="s">
        <v>63</v>
      </c>
      <c r="D216" s="23">
        <v>0</v>
      </c>
      <c r="E216" s="8" t="s">
        <v>125</v>
      </c>
    </row>
    <row r="217" spans="1:5" x14ac:dyDescent="0.35">
      <c r="A217" s="8">
        <v>2</v>
      </c>
      <c r="B217" s="8">
        <v>3</v>
      </c>
      <c r="C217" s="8" t="s">
        <v>81</v>
      </c>
      <c r="D217" s="23">
        <v>95000</v>
      </c>
      <c r="E217" s="8" t="s">
        <v>125</v>
      </c>
    </row>
    <row r="218" spans="1:5" x14ac:dyDescent="0.35">
      <c r="A218" s="8">
        <v>2</v>
      </c>
      <c r="B218" s="8">
        <v>3</v>
      </c>
      <c r="C218" s="8" t="s">
        <v>82</v>
      </c>
      <c r="D218" s="23">
        <v>0</v>
      </c>
      <c r="E218" s="8" t="s">
        <v>125</v>
      </c>
    </row>
    <row r="219" spans="1:5" x14ac:dyDescent="0.35">
      <c r="A219" s="8">
        <v>2</v>
      </c>
      <c r="B219" s="8">
        <v>3</v>
      </c>
      <c r="C219" s="8" t="s">
        <v>83</v>
      </c>
      <c r="D219" s="23">
        <v>21000</v>
      </c>
      <c r="E219" s="8" t="s">
        <v>125</v>
      </c>
    </row>
    <row r="220" spans="1:5" x14ac:dyDescent="0.35">
      <c r="A220" s="8">
        <v>2</v>
      </c>
      <c r="B220" s="8">
        <v>3</v>
      </c>
      <c r="C220" s="8" t="s">
        <v>84</v>
      </c>
      <c r="D220" s="23">
        <v>0</v>
      </c>
      <c r="E220" s="8" t="s">
        <v>125</v>
      </c>
    </row>
    <row r="221" spans="1:5" x14ac:dyDescent="0.35">
      <c r="A221" s="8">
        <v>2</v>
      </c>
      <c r="B221" s="8">
        <v>4</v>
      </c>
      <c r="C221" s="8" t="s">
        <v>77</v>
      </c>
      <c r="D221" s="23">
        <v>988553</v>
      </c>
      <c r="E221" s="8" t="s">
        <v>125</v>
      </c>
    </row>
    <row r="222" spans="1:5" x14ac:dyDescent="0.35">
      <c r="A222" s="8">
        <v>2</v>
      </c>
      <c r="B222" s="8">
        <v>4</v>
      </c>
      <c r="C222" s="8" t="s">
        <v>78</v>
      </c>
      <c r="D222" s="23">
        <v>8000</v>
      </c>
      <c r="E222" s="8" t="s">
        <v>125</v>
      </c>
    </row>
    <row r="223" spans="1:5" x14ac:dyDescent="0.35">
      <c r="A223" s="8">
        <v>2</v>
      </c>
      <c r="B223" s="8">
        <v>4</v>
      </c>
      <c r="C223" s="8" t="s">
        <v>80</v>
      </c>
      <c r="D223" s="23">
        <v>625971</v>
      </c>
      <c r="E223" s="8" t="s">
        <v>125</v>
      </c>
    </row>
    <row r="224" spans="1:5" x14ac:dyDescent="0.35">
      <c r="A224" s="8">
        <v>2</v>
      </c>
      <c r="B224" s="8">
        <v>4</v>
      </c>
      <c r="C224" s="8" t="s">
        <v>63</v>
      </c>
      <c r="D224" s="23">
        <v>312000</v>
      </c>
      <c r="E224" s="8" t="s">
        <v>125</v>
      </c>
    </row>
    <row r="225" spans="1:5" x14ac:dyDescent="0.35">
      <c r="A225" s="8">
        <v>2</v>
      </c>
      <c r="B225" s="8">
        <v>4</v>
      </c>
      <c r="C225" s="8" t="s">
        <v>81</v>
      </c>
      <c r="D225" s="23">
        <v>95000</v>
      </c>
      <c r="E225" s="8" t="s">
        <v>125</v>
      </c>
    </row>
    <row r="226" spans="1:5" x14ac:dyDescent="0.35">
      <c r="A226" s="8">
        <v>2</v>
      </c>
      <c r="B226" s="8">
        <v>4</v>
      </c>
      <c r="C226" s="8" t="s">
        <v>82</v>
      </c>
      <c r="D226" s="23">
        <v>0</v>
      </c>
      <c r="E226" s="8" t="s">
        <v>125</v>
      </c>
    </row>
    <row r="227" spans="1:5" x14ac:dyDescent="0.35">
      <c r="A227" s="8">
        <v>2</v>
      </c>
      <c r="B227" s="8">
        <v>4</v>
      </c>
      <c r="C227" s="8" t="s">
        <v>83</v>
      </c>
      <c r="D227" s="23">
        <v>21000</v>
      </c>
      <c r="E227" s="8" t="s">
        <v>125</v>
      </c>
    </row>
    <row r="228" spans="1:5" x14ac:dyDescent="0.35">
      <c r="A228" s="8">
        <v>2</v>
      </c>
      <c r="B228" s="8">
        <v>4</v>
      </c>
      <c r="C228" s="8" t="s">
        <v>84</v>
      </c>
      <c r="D228" s="23">
        <v>0</v>
      </c>
      <c r="E228" s="8" t="s">
        <v>125</v>
      </c>
    </row>
    <row r="229" spans="1:5" x14ac:dyDescent="0.35">
      <c r="A229" s="8">
        <v>2</v>
      </c>
      <c r="B229" s="8">
        <v>5</v>
      </c>
      <c r="C229" s="8" t="s">
        <v>77</v>
      </c>
      <c r="D229" s="23">
        <v>1001802</v>
      </c>
      <c r="E229" s="8" t="s">
        <v>125</v>
      </c>
    </row>
    <row r="230" spans="1:5" x14ac:dyDescent="0.35">
      <c r="A230" s="8">
        <v>2</v>
      </c>
      <c r="B230" s="8">
        <v>5</v>
      </c>
      <c r="C230" s="8" t="s">
        <v>78</v>
      </c>
      <c r="D230" s="23">
        <v>8000</v>
      </c>
      <c r="E230" s="8" t="s">
        <v>125</v>
      </c>
    </row>
    <row r="231" spans="1:5" x14ac:dyDescent="0.35">
      <c r="A231" s="8">
        <v>2</v>
      </c>
      <c r="B231" s="8">
        <v>5</v>
      </c>
      <c r="C231" s="8" t="s">
        <v>80</v>
      </c>
      <c r="D231" s="23">
        <v>635443</v>
      </c>
      <c r="E231" s="8" t="s">
        <v>125</v>
      </c>
    </row>
    <row r="232" spans="1:5" x14ac:dyDescent="0.35">
      <c r="A232" s="8">
        <v>2</v>
      </c>
      <c r="B232" s="8">
        <v>5</v>
      </c>
      <c r="C232" s="8" t="s">
        <v>63</v>
      </c>
      <c r="D232" s="23">
        <v>0</v>
      </c>
      <c r="E232" s="8" t="s">
        <v>125</v>
      </c>
    </row>
    <row r="233" spans="1:5" x14ac:dyDescent="0.35">
      <c r="A233" s="8">
        <v>2</v>
      </c>
      <c r="B233" s="8">
        <v>5</v>
      </c>
      <c r="C233" s="8" t="s">
        <v>81</v>
      </c>
      <c r="D233" s="23">
        <v>95000</v>
      </c>
      <c r="E233" s="8" t="s">
        <v>125</v>
      </c>
    </row>
    <row r="234" spans="1:5" x14ac:dyDescent="0.35">
      <c r="A234" s="8">
        <v>2</v>
      </c>
      <c r="B234" s="8">
        <v>5</v>
      </c>
      <c r="C234" s="8" t="s">
        <v>82</v>
      </c>
      <c r="D234" s="23">
        <v>0</v>
      </c>
      <c r="E234" s="8" t="s">
        <v>125</v>
      </c>
    </row>
    <row r="235" spans="1:5" x14ac:dyDescent="0.35">
      <c r="A235" s="8">
        <v>2</v>
      </c>
      <c r="B235" s="8">
        <v>5</v>
      </c>
      <c r="C235" s="8" t="s">
        <v>83</v>
      </c>
      <c r="D235" s="23">
        <v>21000</v>
      </c>
      <c r="E235" s="8" t="s">
        <v>125</v>
      </c>
    </row>
    <row r="236" spans="1:5" x14ac:dyDescent="0.35">
      <c r="A236" s="8">
        <v>2</v>
      </c>
      <c r="B236" s="8">
        <v>5</v>
      </c>
      <c r="C236" s="8" t="s">
        <v>84</v>
      </c>
      <c r="D236" s="23">
        <v>0</v>
      </c>
      <c r="E236" s="8" t="s">
        <v>125</v>
      </c>
    </row>
    <row r="237" spans="1:5" x14ac:dyDescent="0.35">
      <c r="A237" s="8">
        <v>2</v>
      </c>
      <c r="B237" s="8">
        <v>6</v>
      </c>
      <c r="C237" s="8" t="s">
        <v>77</v>
      </c>
      <c r="D237" s="23">
        <v>1016533</v>
      </c>
      <c r="E237" s="8" t="s">
        <v>125</v>
      </c>
    </row>
    <row r="238" spans="1:5" x14ac:dyDescent="0.35">
      <c r="A238" s="8">
        <v>2</v>
      </c>
      <c r="B238" s="8">
        <v>6</v>
      </c>
      <c r="C238" s="8" t="s">
        <v>78</v>
      </c>
      <c r="D238" s="23">
        <v>8000</v>
      </c>
      <c r="E238" s="8" t="s">
        <v>125</v>
      </c>
    </row>
    <row r="239" spans="1:5" x14ac:dyDescent="0.35">
      <c r="A239" s="8">
        <v>2</v>
      </c>
      <c r="B239" s="8">
        <v>6</v>
      </c>
      <c r="C239" s="8" t="s">
        <v>80</v>
      </c>
      <c r="D239" s="23">
        <v>640887</v>
      </c>
      <c r="E239" s="8" t="s">
        <v>125</v>
      </c>
    </row>
    <row r="240" spans="1:5" x14ac:dyDescent="0.35">
      <c r="A240" s="8">
        <v>2</v>
      </c>
      <c r="B240" s="8">
        <v>6</v>
      </c>
      <c r="C240" s="8" t="s">
        <v>63</v>
      </c>
      <c r="D240" s="23">
        <v>318000</v>
      </c>
      <c r="E240" s="8" t="s">
        <v>125</v>
      </c>
    </row>
    <row r="241" spans="1:5" x14ac:dyDescent="0.35">
      <c r="A241" s="8">
        <v>2</v>
      </c>
      <c r="B241" s="8">
        <v>6</v>
      </c>
      <c r="C241" s="8" t="s">
        <v>81</v>
      </c>
      <c r="D241" s="23">
        <v>95000</v>
      </c>
      <c r="E241" s="8" t="s">
        <v>125</v>
      </c>
    </row>
    <row r="242" spans="1:5" x14ac:dyDescent="0.35">
      <c r="A242" s="8">
        <v>2</v>
      </c>
      <c r="B242" s="8">
        <v>6</v>
      </c>
      <c r="C242" s="8" t="s">
        <v>82</v>
      </c>
      <c r="D242" s="23">
        <v>0</v>
      </c>
      <c r="E242" s="8" t="s">
        <v>125</v>
      </c>
    </row>
    <row r="243" spans="1:5" x14ac:dyDescent="0.35">
      <c r="A243" s="8">
        <v>2</v>
      </c>
      <c r="B243" s="8">
        <v>6</v>
      </c>
      <c r="C243" s="8" t="s">
        <v>83</v>
      </c>
      <c r="D243" s="23">
        <v>21000</v>
      </c>
      <c r="E243" s="8" t="s">
        <v>125</v>
      </c>
    </row>
    <row r="244" spans="1:5" x14ac:dyDescent="0.35">
      <c r="A244" s="8">
        <v>2</v>
      </c>
      <c r="B244" s="8">
        <v>6</v>
      </c>
      <c r="C244" s="8" t="s">
        <v>84</v>
      </c>
      <c r="D244" s="23">
        <v>0</v>
      </c>
      <c r="E244" s="8" t="s">
        <v>125</v>
      </c>
    </row>
    <row r="245" spans="1:5" x14ac:dyDescent="0.35">
      <c r="A245" s="8">
        <v>2</v>
      </c>
      <c r="B245" s="8">
        <v>7</v>
      </c>
      <c r="C245" s="8" t="s">
        <v>77</v>
      </c>
      <c r="D245" s="23">
        <v>1030296</v>
      </c>
      <c r="E245" s="8" t="s">
        <v>125</v>
      </c>
    </row>
    <row r="246" spans="1:5" x14ac:dyDescent="0.35">
      <c r="A246" s="8">
        <v>2</v>
      </c>
      <c r="B246" s="8">
        <v>7</v>
      </c>
      <c r="C246" s="8" t="s">
        <v>78</v>
      </c>
      <c r="D246" s="23">
        <v>8000</v>
      </c>
      <c r="E246" s="8" t="s">
        <v>125</v>
      </c>
    </row>
    <row r="247" spans="1:5" x14ac:dyDescent="0.35">
      <c r="A247" s="8">
        <v>2</v>
      </c>
      <c r="B247" s="8">
        <v>7</v>
      </c>
      <c r="C247" s="8" t="s">
        <v>80</v>
      </c>
      <c r="D247" s="23">
        <v>647840</v>
      </c>
      <c r="E247" s="8" t="s">
        <v>125</v>
      </c>
    </row>
    <row r="248" spans="1:5" x14ac:dyDescent="0.35">
      <c r="A248" s="8">
        <v>2</v>
      </c>
      <c r="B248" s="8">
        <v>7</v>
      </c>
      <c r="C248" s="8" t="s">
        <v>63</v>
      </c>
      <c r="D248" s="23">
        <v>0</v>
      </c>
      <c r="E248" s="8" t="s">
        <v>125</v>
      </c>
    </row>
    <row r="249" spans="1:5" x14ac:dyDescent="0.35">
      <c r="A249" s="8">
        <v>2</v>
      </c>
      <c r="B249" s="8">
        <v>7</v>
      </c>
      <c r="C249" s="8" t="s">
        <v>81</v>
      </c>
      <c r="D249" s="23">
        <v>95000</v>
      </c>
      <c r="E249" s="8" t="s">
        <v>125</v>
      </c>
    </row>
    <row r="250" spans="1:5" x14ac:dyDescent="0.35">
      <c r="A250" s="8">
        <v>2</v>
      </c>
      <c r="B250" s="8">
        <v>7</v>
      </c>
      <c r="C250" s="8" t="s">
        <v>82</v>
      </c>
      <c r="D250" s="23">
        <v>240000</v>
      </c>
      <c r="E250" s="8" t="s">
        <v>125</v>
      </c>
    </row>
    <row r="251" spans="1:5" x14ac:dyDescent="0.35">
      <c r="A251" s="8">
        <v>2</v>
      </c>
      <c r="B251" s="8">
        <v>7</v>
      </c>
      <c r="C251" s="8" t="s">
        <v>83</v>
      </c>
      <c r="D251" s="23">
        <v>21000</v>
      </c>
      <c r="E251" s="8" t="s">
        <v>125</v>
      </c>
    </row>
    <row r="252" spans="1:5" x14ac:dyDescent="0.35">
      <c r="A252" s="8">
        <v>2</v>
      </c>
      <c r="B252" s="8">
        <v>7</v>
      </c>
      <c r="C252" s="8" t="s">
        <v>84</v>
      </c>
      <c r="D252" s="23">
        <v>0</v>
      </c>
      <c r="E252" s="8" t="s">
        <v>125</v>
      </c>
    </row>
    <row r="253" spans="1:5" x14ac:dyDescent="0.35">
      <c r="A253" s="8">
        <v>2</v>
      </c>
      <c r="B253" s="8">
        <v>8</v>
      </c>
      <c r="C253" s="8" t="s">
        <v>77</v>
      </c>
      <c r="D253" s="23">
        <v>1042083</v>
      </c>
      <c r="E253" s="8" t="s">
        <v>125</v>
      </c>
    </row>
    <row r="254" spans="1:5" x14ac:dyDescent="0.35">
      <c r="A254" s="8">
        <v>2</v>
      </c>
      <c r="B254" s="8">
        <v>8</v>
      </c>
      <c r="C254" s="8" t="s">
        <v>78</v>
      </c>
      <c r="D254" s="23">
        <v>8000</v>
      </c>
      <c r="E254" s="8" t="s">
        <v>125</v>
      </c>
    </row>
    <row r="255" spans="1:5" x14ac:dyDescent="0.35">
      <c r="A255" s="8">
        <v>2</v>
      </c>
      <c r="B255" s="8">
        <v>8</v>
      </c>
      <c r="C255" s="8" t="s">
        <v>80</v>
      </c>
      <c r="D255" s="23">
        <v>656357</v>
      </c>
      <c r="E255" s="8" t="s">
        <v>125</v>
      </c>
    </row>
    <row r="256" spans="1:5" x14ac:dyDescent="0.35">
      <c r="A256" s="8">
        <v>2</v>
      </c>
      <c r="B256" s="8">
        <v>8</v>
      </c>
      <c r="C256" s="8" t="s">
        <v>63</v>
      </c>
      <c r="D256" s="23">
        <v>318000</v>
      </c>
      <c r="E256" s="8" t="s">
        <v>125</v>
      </c>
    </row>
    <row r="257" spans="1:5" x14ac:dyDescent="0.35">
      <c r="A257" s="8">
        <v>2</v>
      </c>
      <c r="B257" s="8">
        <v>8</v>
      </c>
      <c r="C257" s="8" t="s">
        <v>81</v>
      </c>
      <c r="D257" s="23">
        <v>95000</v>
      </c>
      <c r="E257" s="8" t="s">
        <v>125</v>
      </c>
    </row>
    <row r="258" spans="1:5" x14ac:dyDescent="0.35">
      <c r="A258" s="8">
        <v>2</v>
      </c>
      <c r="B258" s="8">
        <v>8</v>
      </c>
      <c r="C258" s="8" t="s">
        <v>82</v>
      </c>
      <c r="D258" s="23">
        <v>0</v>
      </c>
      <c r="E258" s="8" t="s">
        <v>125</v>
      </c>
    </row>
    <row r="259" spans="1:5" x14ac:dyDescent="0.35">
      <c r="A259" s="8">
        <v>2</v>
      </c>
      <c r="B259" s="8">
        <v>8</v>
      </c>
      <c r="C259" s="8" t="s">
        <v>83</v>
      </c>
      <c r="D259" s="23">
        <v>21000</v>
      </c>
      <c r="E259" s="8" t="s">
        <v>125</v>
      </c>
    </row>
    <row r="260" spans="1:5" x14ac:dyDescent="0.35">
      <c r="A260" s="8">
        <v>2</v>
      </c>
      <c r="B260" s="8">
        <v>8</v>
      </c>
      <c r="C260" s="8" t="s">
        <v>84</v>
      </c>
      <c r="D260" s="23">
        <v>0</v>
      </c>
      <c r="E260" s="8" t="s">
        <v>125</v>
      </c>
    </row>
    <row r="261" spans="1:5" x14ac:dyDescent="0.35">
      <c r="A261" s="8">
        <v>2</v>
      </c>
      <c r="B261" s="8">
        <v>9</v>
      </c>
      <c r="C261" s="8" t="s">
        <v>77</v>
      </c>
      <c r="D261" s="23">
        <v>1048734</v>
      </c>
      <c r="E261" s="8" t="s">
        <v>125</v>
      </c>
    </row>
    <row r="262" spans="1:5" x14ac:dyDescent="0.35">
      <c r="A262" s="8">
        <v>2</v>
      </c>
      <c r="B262" s="8">
        <v>9</v>
      </c>
      <c r="C262" s="8" t="s">
        <v>78</v>
      </c>
      <c r="D262" s="23">
        <v>8000</v>
      </c>
      <c r="E262" s="8" t="s">
        <v>125</v>
      </c>
    </row>
    <row r="263" spans="1:5" x14ac:dyDescent="0.35">
      <c r="A263" s="8">
        <v>2</v>
      </c>
      <c r="B263" s="8">
        <v>9</v>
      </c>
      <c r="C263" s="8" t="s">
        <v>80</v>
      </c>
      <c r="D263" s="23">
        <v>662708</v>
      </c>
      <c r="E263" s="8" t="s">
        <v>125</v>
      </c>
    </row>
    <row r="264" spans="1:5" x14ac:dyDescent="0.35">
      <c r="A264" s="8">
        <v>2</v>
      </c>
      <c r="B264" s="8">
        <v>9</v>
      </c>
      <c r="C264" s="8" t="s">
        <v>63</v>
      </c>
      <c r="D264" s="23">
        <v>0</v>
      </c>
      <c r="E264" s="8" t="s">
        <v>125</v>
      </c>
    </row>
    <row r="265" spans="1:5" x14ac:dyDescent="0.35">
      <c r="A265" s="8">
        <v>2</v>
      </c>
      <c r="B265" s="8">
        <v>9</v>
      </c>
      <c r="C265" s="8" t="s">
        <v>81</v>
      </c>
      <c r="D265" s="23">
        <v>95000</v>
      </c>
      <c r="E265" s="8" t="s">
        <v>125</v>
      </c>
    </row>
    <row r="266" spans="1:5" x14ac:dyDescent="0.35">
      <c r="A266" s="8">
        <v>2</v>
      </c>
      <c r="B266" s="8">
        <v>9</v>
      </c>
      <c r="C266" s="8" t="s">
        <v>82</v>
      </c>
      <c r="D266" s="23">
        <v>0</v>
      </c>
      <c r="E266" s="8" t="s">
        <v>125</v>
      </c>
    </row>
    <row r="267" spans="1:5" x14ac:dyDescent="0.35">
      <c r="A267" s="8">
        <v>2</v>
      </c>
      <c r="B267" s="8">
        <v>9</v>
      </c>
      <c r="C267" s="8" t="s">
        <v>83</v>
      </c>
      <c r="D267" s="23">
        <v>21000</v>
      </c>
      <c r="E267" s="8" t="s">
        <v>125</v>
      </c>
    </row>
    <row r="268" spans="1:5" x14ac:dyDescent="0.35">
      <c r="A268" s="8">
        <v>2</v>
      </c>
      <c r="B268" s="8">
        <v>9</v>
      </c>
      <c r="C268" s="8" t="s">
        <v>84</v>
      </c>
      <c r="D268" s="23">
        <v>0</v>
      </c>
      <c r="E268" s="8" t="s">
        <v>125</v>
      </c>
    </row>
    <row r="269" spans="1:5" x14ac:dyDescent="0.35">
      <c r="A269" s="8">
        <v>2</v>
      </c>
      <c r="B269" s="8">
        <v>10</v>
      </c>
      <c r="C269" s="8" t="s">
        <v>77</v>
      </c>
      <c r="D269" s="23">
        <v>1056137</v>
      </c>
      <c r="E269" s="8" t="s">
        <v>125</v>
      </c>
    </row>
    <row r="270" spans="1:5" x14ac:dyDescent="0.35">
      <c r="A270" s="8">
        <v>2</v>
      </c>
      <c r="B270" s="8">
        <v>10</v>
      </c>
      <c r="C270" s="8" t="s">
        <v>78</v>
      </c>
      <c r="D270" s="23">
        <v>8000</v>
      </c>
      <c r="E270" s="8" t="s">
        <v>125</v>
      </c>
    </row>
    <row r="271" spans="1:5" x14ac:dyDescent="0.35">
      <c r="A271" s="8">
        <v>2</v>
      </c>
      <c r="B271" s="8">
        <v>10</v>
      </c>
      <c r="C271" s="8" t="s">
        <v>80</v>
      </c>
      <c r="D271" s="23">
        <v>666251</v>
      </c>
      <c r="E271" s="8" t="s">
        <v>125</v>
      </c>
    </row>
    <row r="272" spans="1:5" x14ac:dyDescent="0.35">
      <c r="A272" s="8">
        <v>2</v>
      </c>
      <c r="B272" s="8">
        <v>10</v>
      </c>
      <c r="C272" s="8" t="s">
        <v>63</v>
      </c>
      <c r="D272" s="23">
        <v>318000</v>
      </c>
      <c r="E272" s="8" t="s">
        <v>125</v>
      </c>
    </row>
    <row r="273" spans="1:5" x14ac:dyDescent="0.35">
      <c r="A273" s="8">
        <v>2</v>
      </c>
      <c r="B273" s="8">
        <v>10</v>
      </c>
      <c r="C273" s="8" t="s">
        <v>81</v>
      </c>
      <c r="D273" s="23">
        <v>95000</v>
      </c>
      <c r="E273" s="8" t="s">
        <v>125</v>
      </c>
    </row>
    <row r="274" spans="1:5" x14ac:dyDescent="0.35">
      <c r="A274" s="8">
        <v>2</v>
      </c>
      <c r="B274" s="8">
        <v>10</v>
      </c>
      <c r="C274" s="8" t="s">
        <v>82</v>
      </c>
      <c r="D274" s="23">
        <v>85000</v>
      </c>
      <c r="E274" s="8" t="s">
        <v>125</v>
      </c>
    </row>
    <row r="275" spans="1:5" x14ac:dyDescent="0.35">
      <c r="A275" s="8">
        <v>2</v>
      </c>
      <c r="B275" s="8">
        <v>10</v>
      </c>
      <c r="C275" s="8" t="s">
        <v>83</v>
      </c>
      <c r="D275" s="23">
        <v>21000</v>
      </c>
      <c r="E275" s="8" t="s">
        <v>125</v>
      </c>
    </row>
    <row r="276" spans="1:5" x14ac:dyDescent="0.35">
      <c r="A276" s="8">
        <v>2</v>
      </c>
      <c r="B276" s="8">
        <v>10</v>
      </c>
      <c r="C276" s="8" t="s">
        <v>84</v>
      </c>
      <c r="D276" s="23">
        <v>0</v>
      </c>
      <c r="E276" s="8" t="s">
        <v>125</v>
      </c>
    </row>
    <row r="277" spans="1:5" x14ac:dyDescent="0.35">
      <c r="A277" s="8">
        <v>2</v>
      </c>
      <c r="B277" s="8">
        <v>11</v>
      </c>
      <c r="C277" s="8" t="s">
        <v>77</v>
      </c>
      <c r="D277" s="23">
        <v>1047299</v>
      </c>
      <c r="E277" s="8" t="s">
        <v>125</v>
      </c>
    </row>
    <row r="278" spans="1:5" x14ac:dyDescent="0.35">
      <c r="A278" s="8">
        <v>2</v>
      </c>
      <c r="B278" s="8">
        <v>11</v>
      </c>
      <c r="C278" s="8" t="s">
        <v>78</v>
      </c>
      <c r="D278" s="23">
        <v>8000</v>
      </c>
      <c r="E278" s="8" t="s">
        <v>125</v>
      </c>
    </row>
    <row r="279" spans="1:5" x14ac:dyDescent="0.35">
      <c r="A279" s="8">
        <v>2</v>
      </c>
      <c r="B279" s="8">
        <v>11</v>
      </c>
      <c r="C279" s="8" t="s">
        <v>80</v>
      </c>
      <c r="D279" s="23">
        <v>665369</v>
      </c>
      <c r="E279" s="8" t="s">
        <v>125</v>
      </c>
    </row>
    <row r="280" spans="1:5" x14ac:dyDescent="0.35">
      <c r="A280" s="8">
        <v>2</v>
      </c>
      <c r="B280" s="8">
        <v>11</v>
      </c>
      <c r="C280" s="8" t="s">
        <v>63</v>
      </c>
      <c r="D280" s="23">
        <v>0</v>
      </c>
      <c r="E280" s="8" t="s">
        <v>125</v>
      </c>
    </row>
    <row r="281" spans="1:5" x14ac:dyDescent="0.35">
      <c r="A281" s="8">
        <v>2</v>
      </c>
      <c r="B281" s="8">
        <v>11</v>
      </c>
      <c r="C281" s="8" t="s">
        <v>81</v>
      </c>
      <c r="D281" s="23">
        <v>275000</v>
      </c>
      <c r="E281" s="8" t="s">
        <v>125</v>
      </c>
    </row>
    <row r="282" spans="1:5" x14ac:dyDescent="0.35">
      <c r="A282" s="8">
        <v>2</v>
      </c>
      <c r="B282" s="8">
        <v>11</v>
      </c>
      <c r="C282" s="8" t="s">
        <v>82</v>
      </c>
      <c r="D282" s="23">
        <v>0</v>
      </c>
      <c r="E282" s="8" t="s">
        <v>125</v>
      </c>
    </row>
    <row r="283" spans="1:5" x14ac:dyDescent="0.35">
      <c r="A283" s="8">
        <v>2</v>
      </c>
      <c r="B283" s="8">
        <v>11</v>
      </c>
      <c r="C283" s="8" t="s">
        <v>83</v>
      </c>
      <c r="D283" s="23">
        <v>21000</v>
      </c>
      <c r="E283" s="8" t="s">
        <v>125</v>
      </c>
    </row>
    <row r="284" spans="1:5" x14ac:dyDescent="0.35">
      <c r="A284" s="8">
        <v>2</v>
      </c>
      <c r="B284" s="8">
        <v>11</v>
      </c>
      <c r="C284" s="8" t="s">
        <v>84</v>
      </c>
      <c r="D284" s="23">
        <v>0</v>
      </c>
      <c r="E284" s="8" t="s">
        <v>125</v>
      </c>
    </row>
    <row r="285" spans="1:5" x14ac:dyDescent="0.35">
      <c r="A285" s="8">
        <v>2</v>
      </c>
      <c r="B285" s="8">
        <v>12</v>
      </c>
      <c r="C285" s="8" t="s">
        <v>77</v>
      </c>
      <c r="D285" s="23">
        <v>1017108</v>
      </c>
      <c r="E285" s="8" t="s">
        <v>125</v>
      </c>
    </row>
    <row r="286" spans="1:5" x14ac:dyDescent="0.35">
      <c r="A286" s="8">
        <v>2</v>
      </c>
      <c r="B286" s="8">
        <v>12</v>
      </c>
      <c r="C286" s="8" t="s">
        <v>78</v>
      </c>
      <c r="D286" s="23">
        <v>8000</v>
      </c>
      <c r="E286" s="8" t="s">
        <v>125</v>
      </c>
    </row>
    <row r="287" spans="1:5" x14ac:dyDescent="0.35">
      <c r="A287" s="8">
        <v>2</v>
      </c>
      <c r="B287" s="8">
        <v>12</v>
      </c>
      <c r="C287" s="8" t="s">
        <v>80</v>
      </c>
      <c r="D287" s="23">
        <v>654317</v>
      </c>
      <c r="E287" s="8" t="s">
        <v>125</v>
      </c>
    </row>
    <row r="288" spans="1:5" x14ac:dyDescent="0.35">
      <c r="A288" s="8">
        <v>2</v>
      </c>
      <c r="B288" s="8">
        <v>12</v>
      </c>
      <c r="C288" s="8" t="s">
        <v>63</v>
      </c>
      <c r="D288" s="23">
        <v>318000</v>
      </c>
      <c r="E288" s="8" t="s">
        <v>125</v>
      </c>
    </row>
    <row r="289" spans="1:5" x14ac:dyDescent="0.35">
      <c r="A289" s="8">
        <v>2</v>
      </c>
      <c r="B289" s="8">
        <v>12</v>
      </c>
      <c r="C289" s="8" t="s">
        <v>81</v>
      </c>
      <c r="D289" s="23">
        <v>95000</v>
      </c>
      <c r="E289" s="8" t="s">
        <v>125</v>
      </c>
    </row>
    <row r="290" spans="1:5" x14ac:dyDescent="0.35">
      <c r="A290" s="8">
        <v>2</v>
      </c>
      <c r="B290" s="8">
        <v>12</v>
      </c>
      <c r="C290" s="8" t="s">
        <v>82</v>
      </c>
      <c r="D290" s="23">
        <v>0</v>
      </c>
      <c r="E290" s="8" t="s">
        <v>125</v>
      </c>
    </row>
    <row r="291" spans="1:5" x14ac:dyDescent="0.35">
      <c r="A291" s="8">
        <v>2</v>
      </c>
      <c r="B291" s="8">
        <v>12</v>
      </c>
      <c r="C291" s="8" t="s">
        <v>83</v>
      </c>
      <c r="D291" s="23">
        <v>21000</v>
      </c>
      <c r="E291" s="8" t="s">
        <v>125</v>
      </c>
    </row>
    <row r="292" spans="1:5" x14ac:dyDescent="0.35">
      <c r="A292" s="8">
        <v>2</v>
      </c>
      <c r="B292" s="8">
        <v>12</v>
      </c>
      <c r="C292" s="8" t="s">
        <v>84</v>
      </c>
      <c r="D292" s="23">
        <v>310000</v>
      </c>
      <c r="E292" s="8" t="s">
        <v>125</v>
      </c>
    </row>
    <row r="293" spans="1:5" x14ac:dyDescent="0.35">
      <c r="A293" s="8">
        <v>2</v>
      </c>
      <c r="B293" s="8">
        <v>13</v>
      </c>
      <c r="C293" s="8" t="s">
        <v>77</v>
      </c>
      <c r="D293" s="23">
        <v>975706</v>
      </c>
      <c r="E293" s="8" t="s">
        <v>125</v>
      </c>
    </row>
    <row r="294" spans="1:5" x14ac:dyDescent="0.35">
      <c r="A294" s="8">
        <v>2</v>
      </c>
      <c r="B294" s="8">
        <v>13</v>
      </c>
      <c r="C294" s="8" t="s">
        <v>78</v>
      </c>
      <c r="D294" s="23">
        <v>8000</v>
      </c>
      <c r="E294" s="8" t="s">
        <v>125</v>
      </c>
    </row>
    <row r="295" spans="1:5" x14ac:dyDescent="0.35">
      <c r="A295" s="8">
        <v>2</v>
      </c>
      <c r="B295" s="8">
        <v>13</v>
      </c>
      <c r="C295" s="8" t="s">
        <v>80</v>
      </c>
      <c r="D295" s="23">
        <v>630192</v>
      </c>
      <c r="E295" s="8" t="s">
        <v>125</v>
      </c>
    </row>
    <row r="296" spans="1:5" x14ac:dyDescent="0.35">
      <c r="A296" s="8">
        <v>2</v>
      </c>
      <c r="B296" s="8">
        <v>13</v>
      </c>
      <c r="C296" s="8" t="s">
        <v>63</v>
      </c>
      <c r="D296" s="23">
        <v>0</v>
      </c>
      <c r="E296" s="8" t="s">
        <v>125</v>
      </c>
    </row>
    <row r="297" spans="1:5" x14ac:dyDescent="0.35">
      <c r="A297" s="8">
        <v>2</v>
      </c>
      <c r="B297" s="8">
        <v>13</v>
      </c>
      <c r="C297" s="8" t="s">
        <v>81</v>
      </c>
      <c r="D297" s="23">
        <v>95000</v>
      </c>
      <c r="E297" s="8" t="s">
        <v>125</v>
      </c>
    </row>
    <row r="298" spans="1:5" x14ac:dyDescent="0.35">
      <c r="A298" s="8">
        <v>2</v>
      </c>
      <c r="B298" s="8">
        <v>13</v>
      </c>
      <c r="C298" s="8" t="s">
        <v>82</v>
      </c>
      <c r="D298" s="23">
        <v>0</v>
      </c>
      <c r="E298" s="8" t="s">
        <v>125</v>
      </c>
    </row>
    <row r="299" spans="1:5" x14ac:dyDescent="0.35">
      <c r="A299" s="8">
        <v>2</v>
      </c>
      <c r="B299" s="8">
        <v>13</v>
      </c>
      <c r="C299" s="8" t="s">
        <v>83</v>
      </c>
      <c r="D299" s="23">
        <v>21000</v>
      </c>
      <c r="E299" s="8" t="s">
        <v>125</v>
      </c>
    </row>
    <row r="300" spans="1:5" x14ac:dyDescent="0.35">
      <c r="A300" s="8">
        <v>2</v>
      </c>
      <c r="B300" s="8">
        <v>13</v>
      </c>
      <c r="C300" s="8" t="s">
        <v>84</v>
      </c>
      <c r="D300" s="23">
        <v>0</v>
      </c>
      <c r="E300" s="8" t="s">
        <v>125</v>
      </c>
    </row>
    <row r="301" spans="1:5" x14ac:dyDescent="0.35">
      <c r="A301" s="8">
        <v>2</v>
      </c>
      <c r="B301" s="8">
        <v>14</v>
      </c>
      <c r="C301" s="8" t="s">
        <v>77</v>
      </c>
      <c r="D301" s="23">
        <v>925169</v>
      </c>
      <c r="E301" s="8" t="s">
        <v>125</v>
      </c>
    </row>
    <row r="302" spans="1:5" x14ac:dyDescent="0.35">
      <c r="A302" s="8">
        <v>2</v>
      </c>
      <c r="B302" s="8">
        <v>14</v>
      </c>
      <c r="C302" s="8" t="s">
        <v>78</v>
      </c>
      <c r="D302" s="23">
        <v>8000</v>
      </c>
      <c r="E302" s="8" t="s">
        <v>125</v>
      </c>
    </row>
    <row r="303" spans="1:5" x14ac:dyDescent="0.35">
      <c r="A303" s="8">
        <v>2</v>
      </c>
      <c r="B303" s="8">
        <v>14</v>
      </c>
      <c r="C303" s="8" t="s">
        <v>80</v>
      </c>
      <c r="D303" s="23">
        <v>598321</v>
      </c>
      <c r="E303" s="8" t="s">
        <v>125</v>
      </c>
    </row>
    <row r="304" spans="1:5" x14ac:dyDescent="0.35">
      <c r="A304" s="8">
        <v>2</v>
      </c>
      <c r="B304" s="8">
        <v>14</v>
      </c>
      <c r="C304" s="8" t="s">
        <v>63</v>
      </c>
      <c r="D304" s="23">
        <v>318000</v>
      </c>
      <c r="E304" s="8" t="s">
        <v>125</v>
      </c>
    </row>
    <row r="305" spans="1:5" x14ac:dyDescent="0.35">
      <c r="A305" s="8">
        <v>2</v>
      </c>
      <c r="B305" s="8">
        <v>14</v>
      </c>
      <c r="C305" s="8" t="s">
        <v>81</v>
      </c>
      <c r="D305" s="23">
        <v>95000</v>
      </c>
      <c r="E305" s="8" t="s">
        <v>125</v>
      </c>
    </row>
    <row r="306" spans="1:5" x14ac:dyDescent="0.35">
      <c r="A306" s="8">
        <v>2</v>
      </c>
      <c r="B306" s="8">
        <v>14</v>
      </c>
      <c r="C306" s="8" t="s">
        <v>82</v>
      </c>
      <c r="D306" s="23">
        <v>150000</v>
      </c>
      <c r="E306" s="8" t="s">
        <v>125</v>
      </c>
    </row>
    <row r="307" spans="1:5" x14ac:dyDescent="0.35">
      <c r="A307" s="8">
        <v>2</v>
      </c>
      <c r="B307" s="8">
        <v>14</v>
      </c>
      <c r="C307" s="8" t="s">
        <v>83</v>
      </c>
      <c r="D307" s="23">
        <v>21000</v>
      </c>
      <c r="E307" s="8" t="s">
        <v>125</v>
      </c>
    </row>
    <row r="308" spans="1:5" x14ac:dyDescent="0.35">
      <c r="A308" s="8">
        <v>2</v>
      </c>
      <c r="B308" s="8">
        <v>14</v>
      </c>
      <c r="C308" s="8" t="s">
        <v>84</v>
      </c>
      <c r="D308" s="23">
        <v>0</v>
      </c>
      <c r="E308" s="8" t="s">
        <v>125</v>
      </c>
    </row>
    <row r="309" spans="1:5" x14ac:dyDescent="0.35">
      <c r="A309" s="8">
        <v>2</v>
      </c>
      <c r="B309" s="8">
        <v>15</v>
      </c>
      <c r="C309" s="8" t="s">
        <v>77</v>
      </c>
      <c r="D309" s="23">
        <v>853909</v>
      </c>
      <c r="E309" s="8" t="s">
        <v>125</v>
      </c>
    </row>
    <row r="310" spans="1:5" x14ac:dyDescent="0.35">
      <c r="A310" s="8">
        <v>2</v>
      </c>
      <c r="B310" s="8">
        <v>15</v>
      </c>
      <c r="C310" s="8" t="s">
        <v>78</v>
      </c>
      <c r="D310" s="23">
        <v>8000</v>
      </c>
      <c r="E310" s="8" t="s">
        <v>125</v>
      </c>
    </row>
    <row r="311" spans="1:5" x14ac:dyDescent="0.35">
      <c r="A311" s="8">
        <v>2</v>
      </c>
      <c r="B311" s="8">
        <v>15</v>
      </c>
      <c r="C311" s="8" t="s">
        <v>80</v>
      </c>
      <c r="D311" s="23">
        <v>559238</v>
      </c>
      <c r="E311" s="8" t="s">
        <v>125</v>
      </c>
    </row>
    <row r="312" spans="1:5" x14ac:dyDescent="0.35">
      <c r="A312" s="8">
        <v>2</v>
      </c>
      <c r="B312" s="8">
        <v>15</v>
      </c>
      <c r="C312" s="8" t="s">
        <v>63</v>
      </c>
      <c r="D312" s="23">
        <v>0</v>
      </c>
      <c r="E312" s="8" t="s">
        <v>125</v>
      </c>
    </row>
    <row r="313" spans="1:5" x14ac:dyDescent="0.35">
      <c r="A313" s="8">
        <v>2</v>
      </c>
      <c r="B313" s="8">
        <v>15</v>
      </c>
      <c r="C313" s="8" t="s">
        <v>81</v>
      </c>
      <c r="D313" s="23">
        <v>95000</v>
      </c>
      <c r="E313" s="8" t="s">
        <v>125</v>
      </c>
    </row>
    <row r="314" spans="1:5" x14ac:dyDescent="0.35">
      <c r="A314" s="8">
        <v>2</v>
      </c>
      <c r="B314" s="8">
        <v>15</v>
      </c>
      <c r="C314" s="8" t="s">
        <v>82</v>
      </c>
      <c r="D314" s="23">
        <v>0</v>
      </c>
      <c r="E314" s="8" t="s">
        <v>125</v>
      </c>
    </row>
    <row r="315" spans="1:5" x14ac:dyDescent="0.35">
      <c r="A315" s="8">
        <v>2</v>
      </c>
      <c r="B315" s="8">
        <v>15</v>
      </c>
      <c r="C315" s="8" t="s">
        <v>83</v>
      </c>
      <c r="D315" s="23">
        <v>21000</v>
      </c>
      <c r="E315" s="8" t="s">
        <v>125</v>
      </c>
    </row>
    <row r="316" spans="1:5" x14ac:dyDescent="0.35">
      <c r="A316" s="8">
        <v>2</v>
      </c>
      <c r="B316" s="8">
        <v>15</v>
      </c>
      <c r="C316" s="8" t="s">
        <v>84</v>
      </c>
      <c r="D316" s="23">
        <v>0</v>
      </c>
      <c r="E316" s="8" t="s">
        <v>125</v>
      </c>
    </row>
    <row r="317" spans="1:5" x14ac:dyDescent="0.35">
      <c r="A317" s="8">
        <v>3</v>
      </c>
      <c r="B317" s="8">
        <v>4</v>
      </c>
      <c r="C317" s="8" t="s">
        <v>77</v>
      </c>
      <c r="D317" s="23">
        <v>995914</v>
      </c>
      <c r="E317" s="8" t="s">
        <v>125</v>
      </c>
    </row>
    <row r="318" spans="1:5" x14ac:dyDescent="0.35">
      <c r="A318" s="8">
        <v>3</v>
      </c>
      <c r="B318" s="8">
        <v>4</v>
      </c>
      <c r="C318" s="8" t="s">
        <v>78</v>
      </c>
      <c r="D318" s="23">
        <v>8000</v>
      </c>
      <c r="E318" s="8" t="s">
        <v>125</v>
      </c>
    </row>
    <row r="319" spans="1:5" x14ac:dyDescent="0.35">
      <c r="A319" s="8">
        <v>3</v>
      </c>
      <c r="B319" s="8">
        <v>4</v>
      </c>
      <c r="C319" s="8" t="s">
        <v>80</v>
      </c>
      <c r="D319" s="23">
        <v>621858</v>
      </c>
      <c r="E319" s="8" t="s">
        <v>125</v>
      </c>
    </row>
    <row r="320" spans="1:5" x14ac:dyDescent="0.35">
      <c r="A320" s="8">
        <v>3</v>
      </c>
      <c r="B320" s="8">
        <v>4</v>
      </c>
      <c r="C320" s="8" t="s">
        <v>63</v>
      </c>
      <c r="D320" s="23">
        <v>312000</v>
      </c>
      <c r="E320" s="8" t="s">
        <v>125</v>
      </c>
    </row>
    <row r="321" spans="1:5" x14ac:dyDescent="0.35">
      <c r="A321" s="8">
        <v>3</v>
      </c>
      <c r="B321" s="8">
        <v>4</v>
      </c>
      <c r="C321" s="8" t="s">
        <v>81</v>
      </c>
      <c r="D321" s="23">
        <v>95000</v>
      </c>
      <c r="E321" s="8" t="s">
        <v>125</v>
      </c>
    </row>
    <row r="322" spans="1:5" x14ac:dyDescent="0.35">
      <c r="A322" s="8">
        <v>3</v>
      </c>
      <c r="B322" s="8">
        <v>4</v>
      </c>
      <c r="C322" s="8" t="s">
        <v>82</v>
      </c>
      <c r="D322" s="23">
        <v>0</v>
      </c>
      <c r="E322" s="8" t="s">
        <v>125</v>
      </c>
    </row>
    <row r="323" spans="1:5" x14ac:dyDescent="0.35">
      <c r="A323" s="8">
        <v>3</v>
      </c>
      <c r="B323" s="8">
        <v>4</v>
      </c>
      <c r="C323" s="8" t="s">
        <v>83</v>
      </c>
      <c r="D323" s="23">
        <v>21000</v>
      </c>
      <c r="E323" s="8" t="s">
        <v>125</v>
      </c>
    </row>
    <row r="324" spans="1:5" x14ac:dyDescent="0.35">
      <c r="A324" s="8">
        <v>3</v>
      </c>
      <c r="B324" s="8">
        <v>4</v>
      </c>
      <c r="C324" s="8" t="s">
        <v>84</v>
      </c>
      <c r="D324" s="23">
        <v>0</v>
      </c>
      <c r="E324" s="8" t="s">
        <v>125</v>
      </c>
    </row>
    <row r="325" spans="1:5" x14ac:dyDescent="0.35">
      <c r="A325" s="8">
        <v>3</v>
      </c>
      <c r="B325" s="8">
        <v>5</v>
      </c>
      <c r="C325" s="8" t="s">
        <v>77</v>
      </c>
      <c r="D325" s="23">
        <v>1007373</v>
      </c>
      <c r="E325" s="8" t="s">
        <v>125</v>
      </c>
    </row>
    <row r="326" spans="1:5" x14ac:dyDescent="0.35">
      <c r="A326" s="8">
        <v>3</v>
      </c>
      <c r="B326" s="8">
        <v>5</v>
      </c>
      <c r="C326" s="8" t="s">
        <v>78</v>
      </c>
      <c r="D326" s="23">
        <v>8000</v>
      </c>
      <c r="E326" s="8" t="s">
        <v>125</v>
      </c>
    </row>
    <row r="327" spans="1:5" x14ac:dyDescent="0.35">
      <c r="A327" s="8">
        <v>3</v>
      </c>
      <c r="B327" s="8">
        <v>5</v>
      </c>
      <c r="C327" s="8" t="s">
        <v>80</v>
      </c>
      <c r="D327" s="23">
        <v>628245</v>
      </c>
      <c r="E327" s="8" t="s">
        <v>125</v>
      </c>
    </row>
    <row r="328" spans="1:5" x14ac:dyDescent="0.35">
      <c r="A328" s="8">
        <v>3</v>
      </c>
      <c r="B328" s="8">
        <v>5</v>
      </c>
      <c r="C328" s="8" t="s">
        <v>63</v>
      </c>
      <c r="D328" s="23">
        <v>0</v>
      </c>
      <c r="E328" s="8" t="s">
        <v>125</v>
      </c>
    </row>
    <row r="329" spans="1:5" x14ac:dyDescent="0.35">
      <c r="A329" s="8">
        <v>3</v>
      </c>
      <c r="B329" s="8">
        <v>5</v>
      </c>
      <c r="C329" s="8" t="s">
        <v>81</v>
      </c>
      <c r="D329" s="23">
        <v>95000</v>
      </c>
      <c r="E329" s="8" t="s">
        <v>125</v>
      </c>
    </row>
    <row r="330" spans="1:5" x14ac:dyDescent="0.35">
      <c r="A330" s="8">
        <v>3</v>
      </c>
      <c r="B330" s="8">
        <v>5</v>
      </c>
      <c r="C330" s="8" t="s">
        <v>82</v>
      </c>
      <c r="D330" s="23">
        <v>0</v>
      </c>
      <c r="E330" s="8" t="s">
        <v>125</v>
      </c>
    </row>
    <row r="331" spans="1:5" x14ac:dyDescent="0.35">
      <c r="A331" s="8">
        <v>3</v>
      </c>
      <c r="B331" s="8">
        <v>5</v>
      </c>
      <c r="C331" s="8" t="s">
        <v>83</v>
      </c>
      <c r="D331" s="23">
        <v>21000</v>
      </c>
      <c r="E331" s="8" t="s">
        <v>125</v>
      </c>
    </row>
    <row r="332" spans="1:5" x14ac:dyDescent="0.35">
      <c r="A332" s="8">
        <v>3</v>
      </c>
      <c r="B332" s="8">
        <v>5</v>
      </c>
      <c r="C332" s="8" t="s">
        <v>84</v>
      </c>
      <c r="D332" s="23">
        <v>0</v>
      </c>
      <c r="E332" s="8" t="s">
        <v>125</v>
      </c>
    </row>
    <row r="333" spans="1:5" x14ac:dyDescent="0.35">
      <c r="A333" s="8">
        <v>3</v>
      </c>
      <c r="B333" s="8">
        <v>6</v>
      </c>
      <c r="C333" s="8" t="s">
        <v>77</v>
      </c>
      <c r="D333" s="23">
        <v>1019915</v>
      </c>
      <c r="E333" s="8" t="s">
        <v>125</v>
      </c>
    </row>
    <row r="334" spans="1:5" x14ac:dyDescent="0.35">
      <c r="A334" s="8">
        <v>3</v>
      </c>
      <c r="B334" s="8">
        <v>6</v>
      </c>
      <c r="C334" s="8" t="s">
        <v>78</v>
      </c>
      <c r="D334" s="23">
        <v>8000</v>
      </c>
      <c r="E334" s="8" t="s">
        <v>125</v>
      </c>
    </row>
    <row r="335" spans="1:5" x14ac:dyDescent="0.35">
      <c r="A335" s="8">
        <v>3</v>
      </c>
      <c r="B335" s="8">
        <v>6</v>
      </c>
      <c r="C335" s="8" t="s">
        <v>80</v>
      </c>
      <c r="D335" s="23">
        <v>634718</v>
      </c>
      <c r="E335" s="8" t="s">
        <v>125</v>
      </c>
    </row>
    <row r="336" spans="1:5" x14ac:dyDescent="0.35">
      <c r="A336" s="8">
        <v>3</v>
      </c>
      <c r="B336" s="8">
        <v>6</v>
      </c>
      <c r="C336" s="8" t="s">
        <v>63</v>
      </c>
      <c r="D336" s="23">
        <v>318000</v>
      </c>
      <c r="E336" s="8" t="s">
        <v>125</v>
      </c>
    </row>
    <row r="337" spans="1:5" x14ac:dyDescent="0.35">
      <c r="A337" s="8">
        <v>3</v>
      </c>
      <c r="B337" s="8">
        <v>6</v>
      </c>
      <c r="C337" s="8" t="s">
        <v>81</v>
      </c>
      <c r="D337" s="23">
        <v>95000</v>
      </c>
      <c r="E337" s="8" t="s">
        <v>125</v>
      </c>
    </row>
    <row r="338" spans="1:5" x14ac:dyDescent="0.35">
      <c r="A338" s="8">
        <v>3</v>
      </c>
      <c r="B338" s="8">
        <v>6</v>
      </c>
      <c r="C338" s="8" t="s">
        <v>82</v>
      </c>
      <c r="D338" s="23">
        <v>0</v>
      </c>
      <c r="E338" s="8" t="s">
        <v>125</v>
      </c>
    </row>
    <row r="339" spans="1:5" x14ac:dyDescent="0.35">
      <c r="A339" s="8">
        <v>3</v>
      </c>
      <c r="B339" s="8">
        <v>6</v>
      </c>
      <c r="C339" s="8" t="s">
        <v>83</v>
      </c>
      <c r="D339" s="23">
        <v>21000</v>
      </c>
      <c r="E339" s="8" t="s">
        <v>125</v>
      </c>
    </row>
    <row r="340" spans="1:5" x14ac:dyDescent="0.35">
      <c r="A340" s="8">
        <v>3</v>
      </c>
      <c r="B340" s="8">
        <v>6</v>
      </c>
      <c r="C340" s="8" t="s">
        <v>84</v>
      </c>
      <c r="D340" s="23">
        <v>0</v>
      </c>
      <c r="E340" s="8" t="s">
        <v>125</v>
      </c>
    </row>
    <row r="341" spans="1:5" x14ac:dyDescent="0.35">
      <c r="A341" s="8">
        <v>3</v>
      </c>
      <c r="B341" s="8">
        <v>7</v>
      </c>
      <c r="C341" s="8" t="s">
        <v>77</v>
      </c>
      <c r="D341" s="23">
        <v>1031887</v>
      </c>
      <c r="E341" s="8" t="s">
        <v>125</v>
      </c>
    </row>
    <row r="342" spans="1:5" x14ac:dyDescent="0.35">
      <c r="A342" s="8">
        <v>3</v>
      </c>
      <c r="B342" s="8">
        <v>7</v>
      </c>
      <c r="C342" s="8" t="s">
        <v>78</v>
      </c>
      <c r="D342" s="23">
        <v>8000</v>
      </c>
      <c r="E342" s="8" t="s">
        <v>125</v>
      </c>
    </row>
    <row r="343" spans="1:5" x14ac:dyDescent="0.35">
      <c r="A343" s="8">
        <v>3</v>
      </c>
      <c r="B343" s="8">
        <v>7</v>
      </c>
      <c r="C343" s="8" t="s">
        <v>80</v>
      </c>
      <c r="D343" s="23">
        <v>645783</v>
      </c>
      <c r="E343" s="8" t="s">
        <v>125</v>
      </c>
    </row>
    <row r="344" spans="1:5" x14ac:dyDescent="0.35">
      <c r="A344" s="8">
        <v>3</v>
      </c>
      <c r="B344" s="8">
        <v>7</v>
      </c>
      <c r="C344" s="8" t="s">
        <v>63</v>
      </c>
      <c r="D344" s="23">
        <v>0</v>
      </c>
      <c r="E344" s="8" t="s">
        <v>125</v>
      </c>
    </row>
    <row r="345" spans="1:5" x14ac:dyDescent="0.35">
      <c r="A345" s="8">
        <v>3</v>
      </c>
      <c r="B345" s="8">
        <v>7</v>
      </c>
      <c r="C345" s="8" t="s">
        <v>81</v>
      </c>
      <c r="D345" s="23">
        <v>95000</v>
      </c>
      <c r="E345" s="8" t="s">
        <v>125</v>
      </c>
    </row>
    <row r="346" spans="1:5" x14ac:dyDescent="0.35">
      <c r="A346" s="8">
        <v>3</v>
      </c>
      <c r="B346" s="8">
        <v>7</v>
      </c>
      <c r="C346" s="8" t="s">
        <v>82</v>
      </c>
      <c r="D346" s="23">
        <v>240000</v>
      </c>
      <c r="E346" s="8" t="s">
        <v>125</v>
      </c>
    </row>
    <row r="347" spans="1:5" x14ac:dyDescent="0.35">
      <c r="A347" s="8">
        <v>3</v>
      </c>
      <c r="B347" s="8">
        <v>7</v>
      </c>
      <c r="C347" s="8" t="s">
        <v>83</v>
      </c>
      <c r="D347" s="23">
        <v>21000</v>
      </c>
      <c r="E347" s="8" t="s">
        <v>125</v>
      </c>
    </row>
    <row r="348" spans="1:5" x14ac:dyDescent="0.35">
      <c r="A348" s="8">
        <v>3</v>
      </c>
      <c r="B348" s="8">
        <v>7</v>
      </c>
      <c r="C348" s="8" t="s">
        <v>84</v>
      </c>
      <c r="D348" s="23">
        <v>0</v>
      </c>
      <c r="E348" s="8" t="s">
        <v>125</v>
      </c>
    </row>
    <row r="349" spans="1:5" x14ac:dyDescent="0.35">
      <c r="A349" s="8">
        <v>3</v>
      </c>
      <c r="B349" s="8">
        <v>8</v>
      </c>
      <c r="C349" s="8" t="s">
        <v>77</v>
      </c>
      <c r="D349" s="23">
        <v>1042083</v>
      </c>
      <c r="E349" s="8" t="s">
        <v>125</v>
      </c>
    </row>
    <row r="350" spans="1:5" x14ac:dyDescent="0.35">
      <c r="A350" s="8">
        <v>3</v>
      </c>
      <c r="B350" s="8">
        <v>8</v>
      </c>
      <c r="C350" s="8" t="s">
        <v>78</v>
      </c>
      <c r="D350" s="23">
        <v>8000</v>
      </c>
      <c r="E350" s="8" t="s">
        <v>125</v>
      </c>
    </row>
    <row r="351" spans="1:5" x14ac:dyDescent="0.35">
      <c r="A351" s="8">
        <v>3</v>
      </c>
      <c r="B351" s="8">
        <v>8</v>
      </c>
      <c r="C351" s="8" t="s">
        <v>80</v>
      </c>
      <c r="D351" s="23">
        <v>656357</v>
      </c>
      <c r="E351" s="8" t="s">
        <v>125</v>
      </c>
    </row>
    <row r="352" spans="1:5" x14ac:dyDescent="0.35">
      <c r="A352" s="8">
        <v>3</v>
      </c>
      <c r="B352" s="8">
        <v>8</v>
      </c>
      <c r="C352" s="8" t="s">
        <v>63</v>
      </c>
      <c r="D352" s="23">
        <v>318000</v>
      </c>
      <c r="E352" s="8" t="s">
        <v>125</v>
      </c>
    </row>
    <row r="353" spans="1:5" x14ac:dyDescent="0.35">
      <c r="A353" s="8">
        <v>3</v>
      </c>
      <c r="B353" s="8">
        <v>8</v>
      </c>
      <c r="C353" s="8" t="s">
        <v>81</v>
      </c>
      <c r="D353" s="23">
        <v>95000</v>
      </c>
      <c r="E353" s="8" t="s">
        <v>125</v>
      </c>
    </row>
    <row r="354" spans="1:5" x14ac:dyDescent="0.35">
      <c r="A354" s="8">
        <v>3</v>
      </c>
      <c r="B354" s="8">
        <v>8</v>
      </c>
      <c r="C354" s="8" t="s">
        <v>82</v>
      </c>
      <c r="D354" s="23">
        <v>0</v>
      </c>
      <c r="E354" s="8" t="s">
        <v>125</v>
      </c>
    </row>
    <row r="355" spans="1:5" x14ac:dyDescent="0.35">
      <c r="A355" s="8">
        <v>3</v>
      </c>
      <c r="B355" s="8">
        <v>8</v>
      </c>
      <c r="C355" s="8" t="s">
        <v>83</v>
      </c>
      <c r="D355" s="23">
        <v>21000</v>
      </c>
      <c r="E355" s="8" t="s">
        <v>125</v>
      </c>
    </row>
    <row r="356" spans="1:5" x14ac:dyDescent="0.35">
      <c r="A356" s="8">
        <v>3</v>
      </c>
      <c r="B356" s="8">
        <v>8</v>
      </c>
      <c r="C356" s="8" t="s">
        <v>84</v>
      </c>
      <c r="D356" s="23">
        <v>0</v>
      </c>
      <c r="E356" s="8" t="s">
        <v>125</v>
      </c>
    </row>
    <row r="357" spans="1:5" x14ac:dyDescent="0.35">
      <c r="A357" s="8">
        <v>3</v>
      </c>
      <c r="B357" s="8">
        <v>9</v>
      </c>
      <c r="C357" s="8" t="s">
        <v>77</v>
      </c>
      <c r="D357" s="23">
        <v>1048734</v>
      </c>
      <c r="E357" s="8" t="s">
        <v>125</v>
      </c>
    </row>
    <row r="358" spans="1:5" x14ac:dyDescent="0.35">
      <c r="A358" s="8">
        <v>3</v>
      </c>
      <c r="B358" s="8">
        <v>9</v>
      </c>
      <c r="C358" s="8" t="s">
        <v>78</v>
      </c>
      <c r="D358" s="23">
        <v>8000</v>
      </c>
      <c r="E358" s="8" t="s">
        <v>125</v>
      </c>
    </row>
    <row r="359" spans="1:5" x14ac:dyDescent="0.35">
      <c r="A359" s="8">
        <v>3</v>
      </c>
      <c r="B359" s="8">
        <v>9</v>
      </c>
      <c r="C359" s="8" t="s">
        <v>80</v>
      </c>
      <c r="D359" s="23">
        <v>662708</v>
      </c>
      <c r="E359" s="8" t="s">
        <v>125</v>
      </c>
    </row>
    <row r="360" spans="1:5" x14ac:dyDescent="0.35">
      <c r="A360" s="8">
        <v>3</v>
      </c>
      <c r="B360" s="8">
        <v>9</v>
      </c>
      <c r="C360" s="8" t="s">
        <v>63</v>
      </c>
      <c r="D360" s="23">
        <v>0</v>
      </c>
      <c r="E360" s="8" t="s">
        <v>125</v>
      </c>
    </row>
    <row r="361" spans="1:5" x14ac:dyDescent="0.35">
      <c r="A361" s="8">
        <v>3</v>
      </c>
      <c r="B361" s="8">
        <v>9</v>
      </c>
      <c r="C361" s="8" t="s">
        <v>81</v>
      </c>
      <c r="D361" s="23">
        <v>95000</v>
      </c>
      <c r="E361" s="8" t="s">
        <v>125</v>
      </c>
    </row>
    <row r="362" spans="1:5" x14ac:dyDescent="0.35">
      <c r="A362" s="8">
        <v>3</v>
      </c>
      <c r="B362" s="8">
        <v>9</v>
      </c>
      <c r="C362" s="8" t="s">
        <v>82</v>
      </c>
      <c r="D362" s="23">
        <v>0</v>
      </c>
      <c r="E362" s="8" t="s">
        <v>125</v>
      </c>
    </row>
    <row r="363" spans="1:5" x14ac:dyDescent="0.35">
      <c r="A363" s="8">
        <v>3</v>
      </c>
      <c r="B363" s="8">
        <v>9</v>
      </c>
      <c r="C363" s="8" t="s">
        <v>83</v>
      </c>
      <c r="D363" s="23">
        <v>21000</v>
      </c>
      <c r="E363" s="8" t="s">
        <v>125</v>
      </c>
    </row>
    <row r="364" spans="1:5" x14ac:dyDescent="0.35">
      <c r="A364" s="8">
        <v>3</v>
      </c>
      <c r="B364" s="8">
        <v>9</v>
      </c>
      <c r="C364" s="8" t="s">
        <v>84</v>
      </c>
      <c r="D364" s="23">
        <v>0</v>
      </c>
      <c r="E364" s="8" t="s">
        <v>125</v>
      </c>
    </row>
    <row r="365" spans="1:5" x14ac:dyDescent="0.35">
      <c r="A365" s="8">
        <v>3</v>
      </c>
      <c r="B365" s="8">
        <v>10</v>
      </c>
      <c r="C365" s="8" t="s">
        <v>77</v>
      </c>
      <c r="D365" s="23">
        <v>1056137</v>
      </c>
      <c r="E365" s="8" t="s">
        <v>125</v>
      </c>
    </row>
    <row r="366" spans="1:5" x14ac:dyDescent="0.35">
      <c r="A366" s="8">
        <v>3</v>
      </c>
      <c r="B366" s="8">
        <v>10</v>
      </c>
      <c r="C366" s="8" t="s">
        <v>78</v>
      </c>
      <c r="D366" s="23">
        <v>8000</v>
      </c>
      <c r="E366" s="8" t="s">
        <v>125</v>
      </c>
    </row>
    <row r="367" spans="1:5" x14ac:dyDescent="0.35">
      <c r="A367" s="8">
        <v>3</v>
      </c>
      <c r="B367" s="8">
        <v>10</v>
      </c>
      <c r="C367" s="8" t="s">
        <v>80</v>
      </c>
      <c r="D367" s="23">
        <v>666251</v>
      </c>
      <c r="E367" s="8" t="s">
        <v>125</v>
      </c>
    </row>
    <row r="368" spans="1:5" x14ac:dyDescent="0.35">
      <c r="A368" s="8">
        <v>3</v>
      </c>
      <c r="B368" s="8">
        <v>10</v>
      </c>
      <c r="C368" s="8" t="s">
        <v>63</v>
      </c>
      <c r="D368" s="23">
        <v>318000</v>
      </c>
      <c r="E368" s="8" t="s">
        <v>125</v>
      </c>
    </row>
    <row r="369" spans="1:5" x14ac:dyDescent="0.35">
      <c r="A369" s="8">
        <v>3</v>
      </c>
      <c r="B369" s="8">
        <v>10</v>
      </c>
      <c r="C369" s="8" t="s">
        <v>81</v>
      </c>
      <c r="D369" s="23">
        <v>95000</v>
      </c>
      <c r="E369" s="8" t="s">
        <v>125</v>
      </c>
    </row>
    <row r="370" spans="1:5" x14ac:dyDescent="0.35">
      <c r="A370" s="8">
        <v>3</v>
      </c>
      <c r="B370" s="8">
        <v>10</v>
      </c>
      <c r="C370" s="8" t="s">
        <v>82</v>
      </c>
      <c r="D370" s="23">
        <v>85000</v>
      </c>
      <c r="E370" s="8" t="s">
        <v>125</v>
      </c>
    </row>
    <row r="371" spans="1:5" x14ac:dyDescent="0.35">
      <c r="A371" s="8">
        <v>3</v>
      </c>
      <c r="B371" s="8">
        <v>10</v>
      </c>
      <c r="C371" s="8" t="s">
        <v>83</v>
      </c>
      <c r="D371" s="23">
        <v>21000</v>
      </c>
      <c r="E371" s="8" t="s">
        <v>125</v>
      </c>
    </row>
    <row r="372" spans="1:5" x14ac:dyDescent="0.35">
      <c r="A372" s="8">
        <v>3</v>
      </c>
      <c r="B372" s="8">
        <v>10</v>
      </c>
      <c r="C372" s="8" t="s">
        <v>84</v>
      </c>
      <c r="D372" s="23">
        <v>0</v>
      </c>
      <c r="E372" s="8" t="s">
        <v>125</v>
      </c>
    </row>
    <row r="373" spans="1:5" x14ac:dyDescent="0.35">
      <c r="A373" s="8">
        <v>3</v>
      </c>
      <c r="B373" s="8">
        <v>11</v>
      </c>
      <c r="C373" s="8" t="s">
        <v>77</v>
      </c>
      <c r="D373" s="23">
        <v>1047299</v>
      </c>
      <c r="E373" s="8" t="s">
        <v>125</v>
      </c>
    </row>
    <row r="374" spans="1:5" x14ac:dyDescent="0.35">
      <c r="A374" s="8">
        <v>3</v>
      </c>
      <c r="B374" s="8">
        <v>11</v>
      </c>
      <c r="C374" s="8" t="s">
        <v>78</v>
      </c>
      <c r="D374" s="23">
        <v>8000</v>
      </c>
      <c r="E374" s="8" t="s">
        <v>125</v>
      </c>
    </row>
    <row r="375" spans="1:5" x14ac:dyDescent="0.35">
      <c r="A375" s="8">
        <v>3</v>
      </c>
      <c r="B375" s="8">
        <v>11</v>
      </c>
      <c r="C375" s="8" t="s">
        <v>80</v>
      </c>
      <c r="D375" s="23">
        <v>665369</v>
      </c>
      <c r="E375" s="8" t="s">
        <v>125</v>
      </c>
    </row>
    <row r="376" spans="1:5" x14ac:dyDescent="0.35">
      <c r="A376" s="8">
        <v>3</v>
      </c>
      <c r="B376" s="8">
        <v>11</v>
      </c>
      <c r="C376" s="8" t="s">
        <v>63</v>
      </c>
      <c r="D376" s="23">
        <v>0</v>
      </c>
      <c r="E376" s="8" t="s">
        <v>125</v>
      </c>
    </row>
    <row r="377" spans="1:5" x14ac:dyDescent="0.35">
      <c r="A377" s="8">
        <v>3</v>
      </c>
      <c r="B377" s="8">
        <v>11</v>
      </c>
      <c r="C377" s="8" t="s">
        <v>81</v>
      </c>
      <c r="D377" s="23">
        <v>275000</v>
      </c>
      <c r="E377" s="8" t="s">
        <v>125</v>
      </c>
    </row>
    <row r="378" spans="1:5" x14ac:dyDescent="0.35">
      <c r="A378" s="8">
        <v>3</v>
      </c>
      <c r="B378" s="8">
        <v>11</v>
      </c>
      <c r="C378" s="8" t="s">
        <v>82</v>
      </c>
      <c r="D378" s="23">
        <v>0</v>
      </c>
      <c r="E378" s="8" t="s">
        <v>125</v>
      </c>
    </row>
    <row r="379" spans="1:5" x14ac:dyDescent="0.35">
      <c r="A379" s="8">
        <v>3</v>
      </c>
      <c r="B379" s="8">
        <v>11</v>
      </c>
      <c r="C379" s="8" t="s">
        <v>83</v>
      </c>
      <c r="D379" s="23">
        <v>21000</v>
      </c>
      <c r="E379" s="8" t="s">
        <v>125</v>
      </c>
    </row>
    <row r="380" spans="1:5" x14ac:dyDescent="0.35">
      <c r="A380" s="8">
        <v>3</v>
      </c>
      <c r="B380" s="8">
        <v>11</v>
      </c>
      <c r="C380" s="8" t="s">
        <v>84</v>
      </c>
      <c r="D380" s="23">
        <v>0</v>
      </c>
      <c r="E380" s="8" t="s">
        <v>125</v>
      </c>
    </row>
    <row r="381" spans="1:5" x14ac:dyDescent="0.35">
      <c r="A381" s="8">
        <v>3</v>
      </c>
      <c r="B381" s="8">
        <v>12</v>
      </c>
      <c r="C381" s="8" t="s">
        <v>77</v>
      </c>
      <c r="D381" s="23">
        <v>1017108</v>
      </c>
      <c r="E381" s="8" t="s">
        <v>125</v>
      </c>
    </row>
    <row r="382" spans="1:5" x14ac:dyDescent="0.35">
      <c r="A382" s="8">
        <v>3</v>
      </c>
      <c r="B382" s="8">
        <v>12</v>
      </c>
      <c r="C382" s="8" t="s">
        <v>78</v>
      </c>
      <c r="D382" s="23">
        <v>8000</v>
      </c>
      <c r="E382" s="8" t="s">
        <v>125</v>
      </c>
    </row>
    <row r="383" spans="1:5" x14ac:dyDescent="0.35">
      <c r="A383" s="8">
        <v>3</v>
      </c>
      <c r="B383" s="8">
        <v>12</v>
      </c>
      <c r="C383" s="8" t="s">
        <v>80</v>
      </c>
      <c r="D383" s="23">
        <v>654317</v>
      </c>
      <c r="E383" s="8" t="s">
        <v>125</v>
      </c>
    </row>
    <row r="384" spans="1:5" x14ac:dyDescent="0.35">
      <c r="A384" s="8">
        <v>3</v>
      </c>
      <c r="B384" s="8">
        <v>12</v>
      </c>
      <c r="C384" s="8" t="s">
        <v>63</v>
      </c>
      <c r="D384" s="23">
        <v>318000</v>
      </c>
      <c r="E384" s="8" t="s">
        <v>125</v>
      </c>
    </row>
    <row r="385" spans="1:5" x14ac:dyDescent="0.35">
      <c r="A385" s="8">
        <v>3</v>
      </c>
      <c r="B385" s="8">
        <v>12</v>
      </c>
      <c r="C385" s="8" t="s">
        <v>81</v>
      </c>
      <c r="D385" s="23">
        <v>95000</v>
      </c>
      <c r="E385" s="8" t="s">
        <v>125</v>
      </c>
    </row>
    <row r="386" spans="1:5" x14ac:dyDescent="0.35">
      <c r="A386" s="8">
        <v>3</v>
      </c>
      <c r="B386" s="8">
        <v>12</v>
      </c>
      <c r="C386" s="8" t="s">
        <v>82</v>
      </c>
      <c r="D386" s="23">
        <v>0</v>
      </c>
      <c r="E386" s="8" t="s">
        <v>125</v>
      </c>
    </row>
    <row r="387" spans="1:5" x14ac:dyDescent="0.35">
      <c r="A387" s="8">
        <v>3</v>
      </c>
      <c r="B387" s="8">
        <v>12</v>
      </c>
      <c r="C387" s="8" t="s">
        <v>83</v>
      </c>
      <c r="D387" s="23">
        <v>21000</v>
      </c>
      <c r="E387" s="8" t="s">
        <v>125</v>
      </c>
    </row>
    <row r="388" spans="1:5" x14ac:dyDescent="0.35">
      <c r="A388" s="8">
        <v>3</v>
      </c>
      <c r="B388" s="8">
        <v>12</v>
      </c>
      <c r="C388" s="8" t="s">
        <v>84</v>
      </c>
      <c r="D388" s="23">
        <v>310000</v>
      </c>
      <c r="E388" s="8" t="s">
        <v>125</v>
      </c>
    </row>
    <row r="389" spans="1:5" x14ac:dyDescent="0.35">
      <c r="A389" s="8">
        <v>3</v>
      </c>
      <c r="B389" s="8">
        <v>13</v>
      </c>
      <c r="C389" s="8" t="s">
        <v>77</v>
      </c>
      <c r="D389" s="23">
        <v>975706</v>
      </c>
      <c r="E389" s="8" t="s">
        <v>125</v>
      </c>
    </row>
    <row r="390" spans="1:5" x14ac:dyDescent="0.35">
      <c r="A390" s="8">
        <v>3</v>
      </c>
      <c r="B390" s="8">
        <v>13</v>
      </c>
      <c r="C390" s="8" t="s">
        <v>78</v>
      </c>
      <c r="D390" s="23">
        <v>8000</v>
      </c>
      <c r="E390" s="8" t="s">
        <v>125</v>
      </c>
    </row>
    <row r="391" spans="1:5" x14ac:dyDescent="0.35">
      <c r="A391" s="8">
        <v>3</v>
      </c>
      <c r="B391" s="8">
        <v>13</v>
      </c>
      <c r="C391" s="8" t="s">
        <v>80</v>
      </c>
      <c r="D391" s="23">
        <v>630192</v>
      </c>
      <c r="E391" s="8" t="s">
        <v>125</v>
      </c>
    </row>
    <row r="392" spans="1:5" x14ac:dyDescent="0.35">
      <c r="A392" s="8">
        <v>3</v>
      </c>
      <c r="B392" s="8">
        <v>13</v>
      </c>
      <c r="C392" s="8" t="s">
        <v>63</v>
      </c>
      <c r="D392" s="23">
        <v>0</v>
      </c>
      <c r="E392" s="8" t="s">
        <v>125</v>
      </c>
    </row>
    <row r="393" spans="1:5" x14ac:dyDescent="0.35">
      <c r="A393" s="8">
        <v>3</v>
      </c>
      <c r="B393" s="8">
        <v>13</v>
      </c>
      <c r="C393" s="8" t="s">
        <v>81</v>
      </c>
      <c r="D393" s="23">
        <v>95000</v>
      </c>
      <c r="E393" s="8" t="s">
        <v>125</v>
      </c>
    </row>
    <row r="394" spans="1:5" x14ac:dyDescent="0.35">
      <c r="A394" s="8">
        <v>3</v>
      </c>
      <c r="B394" s="8">
        <v>13</v>
      </c>
      <c r="C394" s="8" t="s">
        <v>82</v>
      </c>
      <c r="D394" s="23">
        <v>0</v>
      </c>
      <c r="E394" s="8" t="s">
        <v>125</v>
      </c>
    </row>
    <row r="395" spans="1:5" x14ac:dyDescent="0.35">
      <c r="A395" s="8">
        <v>3</v>
      </c>
      <c r="B395" s="8">
        <v>13</v>
      </c>
      <c r="C395" s="8" t="s">
        <v>83</v>
      </c>
      <c r="D395" s="23">
        <v>21000</v>
      </c>
      <c r="E395" s="8" t="s">
        <v>125</v>
      </c>
    </row>
    <row r="396" spans="1:5" x14ac:dyDescent="0.35">
      <c r="A396" s="8">
        <v>3</v>
      </c>
      <c r="B396" s="8">
        <v>13</v>
      </c>
      <c r="C396" s="8" t="s">
        <v>84</v>
      </c>
      <c r="D396" s="23">
        <v>0</v>
      </c>
      <c r="E396" s="8" t="s">
        <v>125</v>
      </c>
    </row>
    <row r="397" spans="1:5" x14ac:dyDescent="0.35">
      <c r="A397" s="8">
        <v>3</v>
      </c>
      <c r="B397" s="8">
        <v>14</v>
      </c>
      <c r="C397" s="8" t="s">
        <v>77</v>
      </c>
      <c r="D397" s="23">
        <v>925169</v>
      </c>
      <c r="E397" s="8" t="s">
        <v>125</v>
      </c>
    </row>
    <row r="398" spans="1:5" x14ac:dyDescent="0.35">
      <c r="A398" s="8">
        <v>3</v>
      </c>
      <c r="B398" s="8">
        <v>14</v>
      </c>
      <c r="C398" s="8" t="s">
        <v>78</v>
      </c>
      <c r="D398" s="23">
        <v>8000</v>
      </c>
      <c r="E398" s="8" t="s">
        <v>125</v>
      </c>
    </row>
    <row r="399" spans="1:5" x14ac:dyDescent="0.35">
      <c r="A399" s="8">
        <v>3</v>
      </c>
      <c r="B399" s="8">
        <v>14</v>
      </c>
      <c r="C399" s="8" t="s">
        <v>80</v>
      </c>
      <c r="D399" s="23">
        <v>598321</v>
      </c>
      <c r="E399" s="8" t="s">
        <v>125</v>
      </c>
    </row>
    <row r="400" spans="1:5" x14ac:dyDescent="0.35">
      <c r="A400" s="8">
        <v>3</v>
      </c>
      <c r="B400" s="8">
        <v>14</v>
      </c>
      <c r="C400" s="8" t="s">
        <v>63</v>
      </c>
      <c r="D400" s="23">
        <v>318000</v>
      </c>
      <c r="E400" s="8" t="s">
        <v>125</v>
      </c>
    </row>
    <row r="401" spans="1:5" x14ac:dyDescent="0.35">
      <c r="A401" s="8">
        <v>3</v>
      </c>
      <c r="B401" s="8">
        <v>14</v>
      </c>
      <c r="C401" s="8" t="s">
        <v>81</v>
      </c>
      <c r="D401" s="23">
        <v>95000</v>
      </c>
      <c r="E401" s="8" t="s">
        <v>125</v>
      </c>
    </row>
    <row r="402" spans="1:5" x14ac:dyDescent="0.35">
      <c r="A402" s="8">
        <v>3</v>
      </c>
      <c r="B402" s="8">
        <v>14</v>
      </c>
      <c r="C402" s="8" t="s">
        <v>82</v>
      </c>
      <c r="D402" s="23">
        <v>150000</v>
      </c>
      <c r="E402" s="8" t="s">
        <v>125</v>
      </c>
    </row>
    <row r="403" spans="1:5" x14ac:dyDescent="0.35">
      <c r="A403" s="8">
        <v>3</v>
      </c>
      <c r="B403" s="8">
        <v>14</v>
      </c>
      <c r="C403" s="8" t="s">
        <v>83</v>
      </c>
      <c r="D403" s="23">
        <v>21000</v>
      </c>
      <c r="E403" s="8" t="s">
        <v>125</v>
      </c>
    </row>
    <row r="404" spans="1:5" x14ac:dyDescent="0.35">
      <c r="A404" s="8">
        <v>3</v>
      </c>
      <c r="B404" s="8">
        <v>14</v>
      </c>
      <c r="C404" s="8" t="s">
        <v>84</v>
      </c>
      <c r="D404" s="23">
        <v>0</v>
      </c>
      <c r="E404" s="8" t="s">
        <v>125</v>
      </c>
    </row>
    <row r="405" spans="1:5" x14ac:dyDescent="0.35">
      <c r="A405" s="8">
        <v>3</v>
      </c>
      <c r="B405" s="8">
        <v>15</v>
      </c>
      <c r="C405" s="8" t="s">
        <v>77</v>
      </c>
      <c r="D405" s="23">
        <v>853909</v>
      </c>
      <c r="E405" s="8" t="s">
        <v>125</v>
      </c>
    </row>
    <row r="406" spans="1:5" x14ac:dyDescent="0.35">
      <c r="A406" s="8">
        <v>3</v>
      </c>
      <c r="B406" s="8">
        <v>15</v>
      </c>
      <c r="C406" s="8" t="s">
        <v>78</v>
      </c>
      <c r="D406" s="23">
        <v>8000</v>
      </c>
      <c r="E406" s="8" t="s">
        <v>125</v>
      </c>
    </row>
    <row r="407" spans="1:5" x14ac:dyDescent="0.35">
      <c r="A407" s="8">
        <v>3</v>
      </c>
      <c r="B407" s="8">
        <v>15</v>
      </c>
      <c r="C407" s="8" t="s">
        <v>80</v>
      </c>
      <c r="D407" s="23">
        <v>559238</v>
      </c>
      <c r="E407" s="8" t="s">
        <v>125</v>
      </c>
    </row>
    <row r="408" spans="1:5" x14ac:dyDescent="0.35">
      <c r="A408" s="8">
        <v>3</v>
      </c>
      <c r="B408" s="8">
        <v>15</v>
      </c>
      <c r="C408" s="8" t="s">
        <v>63</v>
      </c>
      <c r="D408" s="23">
        <v>0</v>
      </c>
      <c r="E408" s="8" t="s">
        <v>125</v>
      </c>
    </row>
    <row r="409" spans="1:5" x14ac:dyDescent="0.35">
      <c r="A409" s="8">
        <v>3</v>
      </c>
      <c r="B409" s="8">
        <v>15</v>
      </c>
      <c r="C409" s="8" t="s">
        <v>81</v>
      </c>
      <c r="D409" s="23">
        <v>95000</v>
      </c>
      <c r="E409" s="8" t="s">
        <v>125</v>
      </c>
    </row>
    <row r="410" spans="1:5" x14ac:dyDescent="0.35">
      <c r="A410" s="8">
        <v>3</v>
      </c>
      <c r="B410" s="8">
        <v>15</v>
      </c>
      <c r="C410" s="8" t="s">
        <v>82</v>
      </c>
      <c r="D410" s="23">
        <v>0</v>
      </c>
      <c r="E410" s="8" t="s">
        <v>125</v>
      </c>
    </row>
    <row r="411" spans="1:5" x14ac:dyDescent="0.35">
      <c r="A411" s="8">
        <v>3</v>
      </c>
      <c r="B411" s="8">
        <v>15</v>
      </c>
      <c r="C411" s="8" t="s">
        <v>83</v>
      </c>
      <c r="D411" s="23">
        <v>21000</v>
      </c>
      <c r="E411" s="8" t="s">
        <v>125</v>
      </c>
    </row>
    <row r="412" spans="1:5" x14ac:dyDescent="0.35">
      <c r="A412" s="8">
        <v>3</v>
      </c>
      <c r="B412" s="8">
        <v>15</v>
      </c>
      <c r="C412" s="8" t="s">
        <v>84</v>
      </c>
      <c r="D412" s="23">
        <v>0</v>
      </c>
      <c r="E412" s="8" t="s">
        <v>125</v>
      </c>
    </row>
    <row r="413" spans="1:5" x14ac:dyDescent="0.35">
      <c r="A413" s="8">
        <v>3</v>
      </c>
      <c r="B413" s="8">
        <v>16</v>
      </c>
      <c r="C413" s="8" t="s">
        <v>77</v>
      </c>
      <c r="D413" s="23">
        <v>767677</v>
      </c>
      <c r="E413" s="8" t="s">
        <v>125</v>
      </c>
    </row>
    <row r="414" spans="1:5" x14ac:dyDescent="0.35">
      <c r="A414" s="8">
        <v>3</v>
      </c>
      <c r="B414" s="8">
        <v>16</v>
      </c>
      <c r="C414" s="8" t="s">
        <v>78</v>
      </c>
      <c r="D414" s="23">
        <v>8000</v>
      </c>
      <c r="E414" s="8" t="s">
        <v>125</v>
      </c>
    </row>
    <row r="415" spans="1:5" x14ac:dyDescent="0.35">
      <c r="A415" s="8">
        <v>3</v>
      </c>
      <c r="B415" s="8">
        <v>16</v>
      </c>
      <c r="C415" s="8" t="s">
        <v>80</v>
      </c>
      <c r="D415" s="23">
        <v>513257</v>
      </c>
      <c r="E415" s="8" t="s">
        <v>125</v>
      </c>
    </row>
    <row r="416" spans="1:5" x14ac:dyDescent="0.35">
      <c r="A416" s="8">
        <v>3</v>
      </c>
      <c r="B416" s="8">
        <v>16</v>
      </c>
      <c r="C416" s="8" t="s">
        <v>63</v>
      </c>
      <c r="D416" s="23">
        <v>413000</v>
      </c>
      <c r="E416" s="8" t="s">
        <v>125</v>
      </c>
    </row>
    <row r="417" spans="1:5" x14ac:dyDescent="0.35">
      <c r="A417" s="8">
        <v>3</v>
      </c>
      <c r="B417" s="8">
        <v>16</v>
      </c>
      <c r="C417" s="8" t="s">
        <v>81</v>
      </c>
      <c r="D417" s="23">
        <v>95000</v>
      </c>
      <c r="E417" s="8" t="s">
        <v>125</v>
      </c>
    </row>
    <row r="418" spans="1:5" x14ac:dyDescent="0.35">
      <c r="A418" s="8">
        <v>3</v>
      </c>
      <c r="B418" s="8">
        <v>16</v>
      </c>
      <c r="C418" s="8" t="s">
        <v>82</v>
      </c>
      <c r="D418" s="23">
        <v>0</v>
      </c>
      <c r="E418" s="8" t="s">
        <v>125</v>
      </c>
    </row>
    <row r="419" spans="1:5" x14ac:dyDescent="0.35">
      <c r="A419" s="8">
        <v>3</v>
      </c>
      <c r="B419" s="8">
        <v>16</v>
      </c>
      <c r="C419" s="8" t="s">
        <v>83</v>
      </c>
      <c r="D419" s="23">
        <v>21000</v>
      </c>
      <c r="E419" s="8" t="s">
        <v>125</v>
      </c>
    </row>
    <row r="420" spans="1:5" x14ac:dyDescent="0.35">
      <c r="A420" s="8">
        <v>3</v>
      </c>
      <c r="B420" s="8">
        <v>16</v>
      </c>
      <c r="C420" s="8" t="s">
        <v>84</v>
      </c>
      <c r="D420" s="23">
        <v>0</v>
      </c>
      <c r="E420" s="8" t="s">
        <v>125</v>
      </c>
    </row>
    <row r="421" spans="1:5" x14ac:dyDescent="0.35">
      <c r="A421" s="8">
        <v>4</v>
      </c>
      <c r="B421" s="8">
        <v>5</v>
      </c>
      <c r="C421" s="8" t="s">
        <v>77</v>
      </c>
      <c r="D421" s="23">
        <v>1004535</v>
      </c>
      <c r="E421" s="8" t="s">
        <v>125</v>
      </c>
    </row>
    <row r="422" spans="1:5" x14ac:dyDescent="0.35">
      <c r="A422" s="8">
        <v>4</v>
      </c>
      <c r="B422" s="8">
        <v>5</v>
      </c>
      <c r="C422" s="8" t="s">
        <v>78</v>
      </c>
      <c r="D422" s="23">
        <v>8000</v>
      </c>
      <c r="E422" s="8" t="s">
        <v>125</v>
      </c>
    </row>
    <row r="423" spans="1:5" x14ac:dyDescent="0.35">
      <c r="A423" s="8">
        <v>4</v>
      </c>
      <c r="B423" s="8">
        <v>5</v>
      </c>
      <c r="C423" s="8" t="s">
        <v>80</v>
      </c>
      <c r="D423" s="23">
        <v>631814</v>
      </c>
      <c r="E423" s="8" t="s">
        <v>125</v>
      </c>
    </row>
    <row r="424" spans="1:5" x14ac:dyDescent="0.35">
      <c r="A424" s="8">
        <v>4</v>
      </c>
      <c r="B424" s="8">
        <v>5</v>
      </c>
      <c r="C424" s="8" t="s">
        <v>63</v>
      </c>
      <c r="D424" s="23">
        <v>0</v>
      </c>
      <c r="E424" s="8" t="s">
        <v>125</v>
      </c>
    </row>
    <row r="425" spans="1:5" x14ac:dyDescent="0.35">
      <c r="A425" s="8">
        <v>4</v>
      </c>
      <c r="B425" s="8">
        <v>5</v>
      </c>
      <c r="C425" s="8" t="s">
        <v>81</v>
      </c>
      <c r="D425" s="23">
        <v>95000</v>
      </c>
      <c r="E425" s="8" t="s">
        <v>125</v>
      </c>
    </row>
    <row r="426" spans="1:5" x14ac:dyDescent="0.35">
      <c r="A426" s="8">
        <v>4</v>
      </c>
      <c r="B426" s="8">
        <v>5</v>
      </c>
      <c r="C426" s="8" t="s">
        <v>82</v>
      </c>
      <c r="D426" s="23">
        <v>0</v>
      </c>
      <c r="E426" s="8" t="s">
        <v>125</v>
      </c>
    </row>
    <row r="427" spans="1:5" x14ac:dyDescent="0.35">
      <c r="A427" s="8">
        <v>4</v>
      </c>
      <c r="B427" s="8">
        <v>5</v>
      </c>
      <c r="C427" s="8" t="s">
        <v>83</v>
      </c>
      <c r="D427" s="23">
        <v>21000</v>
      </c>
      <c r="E427" s="8" t="s">
        <v>125</v>
      </c>
    </row>
    <row r="428" spans="1:5" x14ac:dyDescent="0.35">
      <c r="A428" s="8">
        <v>4</v>
      </c>
      <c r="B428" s="8">
        <v>5</v>
      </c>
      <c r="C428" s="8" t="s">
        <v>84</v>
      </c>
      <c r="D428" s="23">
        <v>0</v>
      </c>
      <c r="E428" s="8" t="s">
        <v>125</v>
      </c>
    </row>
    <row r="429" spans="1:5" x14ac:dyDescent="0.35">
      <c r="A429" s="8">
        <v>4</v>
      </c>
      <c r="B429" s="8">
        <v>6</v>
      </c>
      <c r="C429" s="8" t="s">
        <v>77</v>
      </c>
      <c r="D429" s="23">
        <v>1017768</v>
      </c>
      <c r="E429" s="8" t="s">
        <v>125</v>
      </c>
    </row>
    <row r="430" spans="1:5" x14ac:dyDescent="0.35">
      <c r="A430" s="8">
        <v>4</v>
      </c>
      <c r="B430" s="8">
        <v>6</v>
      </c>
      <c r="C430" s="8" t="s">
        <v>78</v>
      </c>
      <c r="D430" s="23">
        <v>8000</v>
      </c>
      <c r="E430" s="8" t="s">
        <v>125</v>
      </c>
    </row>
    <row r="431" spans="1:5" x14ac:dyDescent="0.35">
      <c r="A431" s="8">
        <v>4</v>
      </c>
      <c r="B431" s="8">
        <v>6</v>
      </c>
      <c r="C431" s="8" t="s">
        <v>80</v>
      </c>
      <c r="D431" s="23">
        <v>640963</v>
      </c>
      <c r="E431" s="8" t="s">
        <v>125</v>
      </c>
    </row>
    <row r="432" spans="1:5" x14ac:dyDescent="0.35">
      <c r="A432" s="8">
        <v>4</v>
      </c>
      <c r="B432" s="8">
        <v>6</v>
      </c>
      <c r="C432" s="8" t="s">
        <v>63</v>
      </c>
      <c r="D432" s="23">
        <v>318000</v>
      </c>
      <c r="E432" s="8" t="s">
        <v>125</v>
      </c>
    </row>
    <row r="433" spans="1:5" x14ac:dyDescent="0.35">
      <c r="A433" s="8">
        <v>4</v>
      </c>
      <c r="B433" s="8">
        <v>6</v>
      </c>
      <c r="C433" s="8" t="s">
        <v>81</v>
      </c>
      <c r="D433" s="23">
        <v>95000</v>
      </c>
      <c r="E433" s="8" t="s">
        <v>125</v>
      </c>
    </row>
    <row r="434" spans="1:5" x14ac:dyDescent="0.35">
      <c r="A434" s="8">
        <v>4</v>
      </c>
      <c r="B434" s="8">
        <v>6</v>
      </c>
      <c r="C434" s="8" t="s">
        <v>82</v>
      </c>
      <c r="D434" s="23">
        <v>0</v>
      </c>
      <c r="E434" s="8" t="s">
        <v>125</v>
      </c>
    </row>
    <row r="435" spans="1:5" x14ac:dyDescent="0.35">
      <c r="A435" s="8">
        <v>4</v>
      </c>
      <c r="B435" s="8">
        <v>6</v>
      </c>
      <c r="C435" s="8" t="s">
        <v>83</v>
      </c>
      <c r="D435" s="23">
        <v>21000</v>
      </c>
      <c r="E435" s="8" t="s">
        <v>125</v>
      </c>
    </row>
    <row r="436" spans="1:5" x14ac:dyDescent="0.35">
      <c r="A436" s="8">
        <v>4</v>
      </c>
      <c r="B436" s="8">
        <v>6</v>
      </c>
      <c r="C436" s="8" t="s">
        <v>84</v>
      </c>
      <c r="D436" s="23">
        <v>0</v>
      </c>
      <c r="E436" s="8" t="s">
        <v>125</v>
      </c>
    </row>
    <row r="437" spans="1:5" x14ac:dyDescent="0.35">
      <c r="A437" s="8">
        <v>4</v>
      </c>
      <c r="B437" s="8">
        <v>7</v>
      </c>
      <c r="C437" s="8" t="s">
        <v>77</v>
      </c>
      <c r="D437" s="23">
        <v>1030584</v>
      </c>
      <c r="E437" s="8" t="s">
        <v>125</v>
      </c>
    </row>
    <row r="438" spans="1:5" x14ac:dyDescent="0.35">
      <c r="A438" s="8">
        <v>4</v>
      </c>
      <c r="B438" s="8">
        <v>7</v>
      </c>
      <c r="C438" s="8" t="s">
        <v>78</v>
      </c>
      <c r="D438" s="23">
        <v>8000</v>
      </c>
      <c r="E438" s="8" t="s">
        <v>125</v>
      </c>
    </row>
    <row r="439" spans="1:5" x14ac:dyDescent="0.35">
      <c r="A439" s="8">
        <v>4</v>
      </c>
      <c r="B439" s="8">
        <v>7</v>
      </c>
      <c r="C439" s="8" t="s">
        <v>80</v>
      </c>
      <c r="D439" s="23">
        <v>651137</v>
      </c>
      <c r="E439" s="8" t="s">
        <v>125</v>
      </c>
    </row>
    <row r="440" spans="1:5" x14ac:dyDescent="0.35">
      <c r="A440" s="8">
        <v>4</v>
      </c>
      <c r="B440" s="8">
        <v>7</v>
      </c>
      <c r="C440" s="8" t="s">
        <v>63</v>
      </c>
      <c r="D440" s="23">
        <v>0</v>
      </c>
      <c r="E440" s="8" t="s">
        <v>125</v>
      </c>
    </row>
    <row r="441" spans="1:5" x14ac:dyDescent="0.35">
      <c r="A441" s="8">
        <v>4</v>
      </c>
      <c r="B441" s="8">
        <v>7</v>
      </c>
      <c r="C441" s="8" t="s">
        <v>81</v>
      </c>
      <c r="D441" s="23">
        <v>95000</v>
      </c>
      <c r="E441" s="8" t="s">
        <v>125</v>
      </c>
    </row>
    <row r="442" spans="1:5" x14ac:dyDescent="0.35">
      <c r="A442" s="8">
        <v>4</v>
      </c>
      <c r="B442" s="8">
        <v>7</v>
      </c>
      <c r="C442" s="8" t="s">
        <v>82</v>
      </c>
      <c r="D442" s="23">
        <v>240000</v>
      </c>
      <c r="E442" s="8" t="s">
        <v>125</v>
      </c>
    </row>
    <row r="443" spans="1:5" x14ac:dyDescent="0.35">
      <c r="A443" s="8">
        <v>4</v>
      </c>
      <c r="B443" s="8">
        <v>7</v>
      </c>
      <c r="C443" s="8" t="s">
        <v>83</v>
      </c>
      <c r="D443" s="23">
        <v>21000</v>
      </c>
      <c r="E443" s="8" t="s">
        <v>125</v>
      </c>
    </row>
    <row r="444" spans="1:5" x14ac:dyDescent="0.35">
      <c r="A444" s="8">
        <v>4</v>
      </c>
      <c r="B444" s="8">
        <v>7</v>
      </c>
      <c r="C444" s="8" t="s">
        <v>84</v>
      </c>
      <c r="D444" s="23">
        <v>0</v>
      </c>
      <c r="E444" s="8" t="s">
        <v>125</v>
      </c>
    </row>
    <row r="445" spans="1:5" x14ac:dyDescent="0.35">
      <c r="A445" s="8">
        <v>4</v>
      </c>
      <c r="B445" s="8">
        <v>8</v>
      </c>
      <c r="C445" s="8" t="s">
        <v>77</v>
      </c>
      <c r="D445" s="23">
        <v>1041469</v>
      </c>
      <c r="E445" s="8" t="s">
        <v>125</v>
      </c>
    </row>
    <row r="446" spans="1:5" x14ac:dyDescent="0.35">
      <c r="A446" s="8">
        <v>4</v>
      </c>
      <c r="B446" s="8">
        <v>8</v>
      </c>
      <c r="C446" s="8" t="s">
        <v>78</v>
      </c>
      <c r="D446" s="23">
        <v>8000</v>
      </c>
      <c r="E446" s="8" t="s">
        <v>125</v>
      </c>
    </row>
    <row r="447" spans="1:5" x14ac:dyDescent="0.35">
      <c r="A447" s="8">
        <v>4</v>
      </c>
      <c r="B447" s="8">
        <v>8</v>
      </c>
      <c r="C447" s="8" t="s">
        <v>80</v>
      </c>
      <c r="D447" s="23">
        <v>658142</v>
      </c>
      <c r="E447" s="8" t="s">
        <v>125</v>
      </c>
    </row>
    <row r="448" spans="1:5" x14ac:dyDescent="0.35">
      <c r="A448" s="8">
        <v>4</v>
      </c>
      <c r="B448" s="8">
        <v>8</v>
      </c>
      <c r="C448" s="8" t="s">
        <v>63</v>
      </c>
      <c r="D448" s="23">
        <v>318000</v>
      </c>
      <c r="E448" s="8" t="s">
        <v>125</v>
      </c>
    </row>
    <row r="449" spans="1:5" x14ac:dyDescent="0.35">
      <c r="A449" s="8">
        <v>4</v>
      </c>
      <c r="B449" s="8">
        <v>8</v>
      </c>
      <c r="C449" s="8" t="s">
        <v>81</v>
      </c>
      <c r="D449" s="23">
        <v>95000</v>
      </c>
      <c r="E449" s="8" t="s">
        <v>125</v>
      </c>
    </row>
    <row r="450" spans="1:5" x14ac:dyDescent="0.35">
      <c r="A450" s="8">
        <v>4</v>
      </c>
      <c r="B450" s="8">
        <v>8</v>
      </c>
      <c r="C450" s="8" t="s">
        <v>82</v>
      </c>
      <c r="D450" s="23">
        <v>0</v>
      </c>
      <c r="E450" s="8" t="s">
        <v>125</v>
      </c>
    </row>
    <row r="451" spans="1:5" x14ac:dyDescent="0.35">
      <c r="A451" s="8">
        <v>4</v>
      </c>
      <c r="B451" s="8">
        <v>8</v>
      </c>
      <c r="C451" s="8" t="s">
        <v>83</v>
      </c>
      <c r="D451" s="23">
        <v>21000</v>
      </c>
      <c r="E451" s="8" t="s">
        <v>125</v>
      </c>
    </row>
    <row r="452" spans="1:5" x14ac:dyDescent="0.35">
      <c r="A452" s="8">
        <v>4</v>
      </c>
      <c r="B452" s="8">
        <v>8</v>
      </c>
      <c r="C452" s="8" t="s">
        <v>84</v>
      </c>
      <c r="D452" s="23">
        <v>0</v>
      </c>
      <c r="E452" s="8" t="s">
        <v>125</v>
      </c>
    </row>
    <row r="453" spans="1:5" x14ac:dyDescent="0.35">
      <c r="A453" s="8">
        <v>4</v>
      </c>
      <c r="B453" s="8">
        <v>9</v>
      </c>
      <c r="C453" s="8" t="s">
        <v>77</v>
      </c>
      <c r="D453" s="23">
        <v>1048734</v>
      </c>
      <c r="E453" s="8" t="s">
        <v>125</v>
      </c>
    </row>
    <row r="454" spans="1:5" x14ac:dyDescent="0.35">
      <c r="A454" s="8">
        <v>4</v>
      </c>
      <c r="B454" s="8">
        <v>9</v>
      </c>
      <c r="C454" s="8" t="s">
        <v>78</v>
      </c>
      <c r="D454" s="23">
        <v>8000</v>
      </c>
      <c r="E454" s="8" t="s">
        <v>125</v>
      </c>
    </row>
    <row r="455" spans="1:5" x14ac:dyDescent="0.35">
      <c r="A455" s="8">
        <v>4</v>
      </c>
      <c r="B455" s="8">
        <v>9</v>
      </c>
      <c r="C455" s="8" t="s">
        <v>80</v>
      </c>
      <c r="D455" s="23">
        <v>662708</v>
      </c>
      <c r="E455" s="8" t="s">
        <v>125</v>
      </c>
    </row>
    <row r="456" spans="1:5" x14ac:dyDescent="0.35">
      <c r="A456" s="8">
        <v>4</v>
      </c>
      <c r="B456" s="8">
        <v>9</v>
      </c>
      <c r="C456" s="8" t="s">
        <v>63</v>
      </c>
      <c r="D456" s="23">
        <v>0</v>
      </c>
      <c r="E456" s="8" t="s">
        <v>125</v>
      </c>
    </row>
    <row r="457" spans="1:5" x14ac:dyDescent="0.35">
      <c r="A457" s="8">
        <v>4</v>
      </c>
      <c r="B457" s="8">
        <v>9</v>
      </c>
      <c r="C457" s="8" t="s">
        <v>81</v>
      </c>
      <c r="D457" s="23">
        <v>95000</v>
      </c>
      <c r="E457" s="8" t="s">
        <v>125</v>
      </c>
    </row>
    <row r="458" spans="1:5" x14ac:dyDescent="0.35">
      <c r="A458" s="8">
        <v>4</v>
      </c>
      <c r="B458" s="8">
        <v>9</v>
      </c>
      <c r="C458" s="8" t="s">
        <v>82</v>
      </c>
      <c r="D458" s="23">
        <v>0</v>
      </c>
      <c r="E458" s="8" t="s">
        <v>125</v>
      </c>
    </row>
    <row r="459" spans="1:5" x14ac:dyDescent="0.35">
      <c r="A459" s="8">
        <v>4</v>
      </c>
      <c r="B459" s="8">
        <v>9</v>
      </c>
      <c r="C459" s="8" t="s">
        <v>83</v>
      </c>
      <c r="D459" s="23">
        <v>21000</v>
      </c>
      <c r="E459" s="8" t="s">
        <v>125</v>
      </c>
    </row>
    <row r="460" spans="1:5" x14ac:dyDescent="0.35">
      <c r="A460" s="8">
        <v>4</v>
      </c>
      <c r="B460" s="8">
        <v>9</v>
      </c>
      <c r="C460" s="8" t="s">
        <v>84</v>
      </c>
      <c r="D460" s="23">
        <v>0</v>
      </c>
      <c r="E460" s="8" t="s">
        <v>125</v>
      </c>
    </row>
    <row r="461" spans="1:5" x14ac:dyDescent="0.35">
      <c r="A461" s="8">
        <v>4</v>
      </c>
      <c r="B461" s="8">
        <v>10</v>
      </c>
      <c r="C461" s="8" t="s">
        <v>77</v>
      </c>
      <c r="D461" s="23">
        <v>1056137</v>
      </c>
      <c r="E461" s="8" t="s">
        <v>125</v>
      </c>
    </row>
    <row r="462" spans="1:5" x14ac:dyDescent="0.35">
      <c r="A462" s="8">
        <v>4</v>
      </c>
      <c r="B462" s="8">
        <v>10</v>
      </c>
      <c r="C462" s="8" t="s">
        <v>78</v>
      </c>
      <c r="D462" s="23">
        <v>8000</v>
      </c>
      <c r="E462" s="8" t="s">
        <v>125</v>
      </c>
    </row>
    <row r="463" spans="1:5" x14ac:dyDescent="0.35">
      <c r="A463" s="8">
        <v>4</v>
      </c>
      <c r="B463" s="8">
        <v>10</v>
      </c>
      <c r="C463" s="8" t="s">
        <v>80</v>
      </c>
      <c r="D463" s="23">
        <v>666251</v>
      </c>
      <c r="E463" s="8" t="s">
        <v>125</v>
      </c>
    </row>
    <row r="464" spans="1:5" x14ac:dyDescent="0.35">
      <c r="A464" s="8">
        <v>4</v>
      </c>
      <c r="B464" s="8">
        <v>10</v>
      </c>
      <c r="C464" s="8" t="s">
        <v>63</v>
      </c>
      <c r="D464" s="23">
        <v>318000</v>
      </c>
      <c r="E464" s="8" t="s">
        <v>125</v>
      </c>
    </row>
    <row r="465" spans="1:5" x14ac:dyDescent="0.35">
      <c r="A465" s="8">
        <v>4</v>
      </c>
      <c r="B465" s="8">
        <v>10</v>
      </c>
      <c r="C465" s="8" t="s">
        <v>81</v>
      </c>
      <c r="D465" s="23">
        <v>95000</v>
      </c>
      <c r="E465" s="8" t="s">
        <v>125</v>
      </c>
    </row>
    <row r="466" spans="1:5" x14ac:dyDescent="0.35">
      <c r="A466" s="8">
        <v>4</v>
      </c>
      <c r="B466" s="8">
        <v>10</v>
      </c>
      <c r="C466" s="8" t="s">
        <v>82</v>
      </c>
      <c r="D466" s="23">
        <v>85000</v>
      </c>
      <c r="E466" s="8" t="s">
        <v>125</v>
      </c>
    </row>
    <row r="467" spans="1:5" x14ac:dyDescent="0.35">
      <c r="A467" s="8">
        <v>4</v>
      </c>
      <c r="B467" s="8">
        <v>10</v>
      </c>
      <c r="C467" s="8" t="s">
        <v>83</v>
      </c>
      <c r="D467" s="23">
        <v>21000</v>
      </c>
      <c r="E467" s="8" t="s">
        <v>125</v>
      </c>
    </row>
    <row r="468" spans="1:5" x14ac:dyDescent="0.35">
      <c r="A468" s="8">
        <v>4</v>
      </c>
      <c r="B468" s="8">
        <v>10</v>
      </c>
      <c r="C468" s="8" t="s">
        <v>84</v>
      </c>
      <c r="D468" s="23">
        <v>0</v>
      </c>
      <c r="E468" s="8" t="s">
        <v>125</v>
      </c>
    </row>
    <row r="469" spans="1:5" x14ac:dyDescent="0.35">
      <c r="A469" s="8">
        <v>4</v>
      </c>
      <c r="B469" s="8">
        <v>11</v>
      </c>
      <c r="C469" s="8" t="s">
        <v>77</v>
      </c>
      <c r="D469" s="23">
        <v>1047299</v>
      </c>
      <c r="E469" s="8" t="s">
        <v>125</v>
      </c>
    </row>
    <row r="470" spans="1:5" x14ac:dyDescent="0.35">
      <c r="A470" s="8">
        <v>4</v>
      </c>
      <c r="B470" s="8">
        <v>11</v>
      </c>
      <c r="C470" s="8" t="s">
        <v>78</v>
      </c>
      <c r="D470" s="23">
        <v>8000</v>
      </c>
      <c r="E470" s="8" t="s">
        <v>125</v>
      </c>
    </row>
    <row r="471" spans="1:5" x14ac:dyDescent="0.35">
      <c r="A471" s="8">
        <v>4</v>
      </c>
      <c r="B471" s="8">
        <v>11</v>
      </c>
      <c r="C471" s="8" t="s">
        <v>80</v>
      </c>
      <c r="D471" s="23">
        <v>665369</v>
      </c>
      <c r="E471" s="8" t="s">
        <v>125</v>
      </c>
    </row>
    <row r="472" spans="1:5" x14ac:dyDescent="0.35">
      <c r="A472" s="8">
        <v>4</v>
      </c>
      <c r="B472" s="8">
        <v>11</v>
      </c>
      <c r="C472" s="8" t="s">
        <v>63</v>
      </c>
      <c r="D472" s="23">
        <v>0</v>
      </c>
      <c r="E472" s="8" t="s">
        <v>125</v>
      </c>
    </row>
    <row r="473" spans="1:5" x14ac:dyDescent="0.35">
      <c r="A473" s="8">
        <v>4</v>
      </c>
      <c r="B473" s="8">
        <v>11</v>
      </c>
      <c r="C473" s="8" t="s">
        <v>81</v>
      </c>
      <c r="D473" s="23">
        <v>275000</v>
      </c>
      <c r="E473" s="8" t="s">
        <v>125</v>
      </c>
    </row>
    <row r="474" spans="1:5" x14ac:dyDescent="0.35">
      <c r="A474" s="8">
        <v>4</v>
      </c>
      <c r="B474" s="8">
        <v>11</v>
      </c>
      <c r="C474" s="8" t="s">
        <v>82</v>
      </c>
      <c r="D474" s="23">
        <v>0</v>
      </c>
      <c r="E474" s="8" t="s">
        <v>125</v>
      </c>
    </row>
    <row r="475" spans="1:5" x14ac:dyDescent="0.35">
      <c r="A475" s="8">
        <v>4</v>
      </c>
      <c r="B475" s="8">
        <v>11</v>
      </c>
      <c r="C475" s="8" t="s">
        <v>83</v>
      </c>
      <c r="D475" s="23">
        <v>21000</v>
      </c>
      <c r="E475" s="8" t="s">
        <v>125</v>
      </c>
    </row>
    <row r="476" spans="1:5" x14ac:dyDescent="0.35">
      <c r="A476" s="8">
        <v>4</v>
      </c>
      <c r="B476" s="8">
        <v>11</v>
      </c>
      <c r="C476" s="8" t="s">
        <v>84</v>
      </c>
      <c r="D476" s="23">
        <v>0</v>
      </c>
      <c r="E476" s="8" t="s">
        <v>125</v>
      </c>
    </row>
    <row r="477" spans="1:5" x14ac:dyDescent="0.35">
      <c r="A477" s="8">
        <v>4</v>
      </c>
      <c r="B477" s="8">
        <v>12</v>
      </c>
      <c r="C477" s="8" t="s">
        <v>77</v>
      </c>
      <c r="D477" s="23">
        <v>1017108</v>
      </c>
      <c r="E477" s="8" t="s">
        <v>125</v>
      </c>
    </row>
    <row r="478" spans="1:5" x14ac:dyDescent="0.35">
      <c r="A478" s="8">
        <v>4</v>
      </c>
      <c r="B478" s="8">
        <v>12</v>
      </c>
      <c r="C478" s="8" t="s">
        <v>78</v>
      </c>
      <c r="D478" s="23">
        <v>8000</v>
      </c>
      <c r="E478" s="8" t="s">
        <v>125</v>
      </c>
    </row>
    <row r="479" spans="1:5" x14ac:dyDescent="0.35">
      <c r="A479" s="8">
        <v>4</v>
      </c>
      <c r="B479" s="8">
        <v>12</v>
      </c>
      <c r="C479" s="8" t="s">
        <v>80</v>
      </c>
      <c r="D479" s="23">
        <v>654317</v>
      </c>
      <c r="E479" s="8" t="s">
        <v>125</v>
      </c>
    </row>
    <row r="480" spans="1:5" x14ac:dyDescent="0.35">
      <c r="A480" s="8">
        <v>4</v>
      </c>
      <c r="B480" s="8">
        <v>12</v>
      </c>
      <c r="C480" s="8" t="s">
        <v>63</v>
      </c>
      <c r="D480" s="23">
        <v>318000</v>
      </c>
      <c r="E480" s="8" t="s">
        <v>125</v>
      </c>
    </row>
    <row r="481" spans="1:5" x14ac:dyDescent="0.35">
      <c r="A481" s="8">
        <v>4</v>
      </c>
      <c r="B481" s="8">
        <v>12</v>
      </c>
      <c r="C481" s="8" t="s">
        <v>81</v>
      </c>
      <c r="D481" s="23">
        <v>95000</v>
      </c>
      <c r="E481" s="8" t="s">
        <v>125</v>
      </c>
    </row>
    <row r="482" spans="1:5" x14ac:dyDescent="0.35">
      <c r="A482" s="8">
        <v>4</v>
      </c>
      <c r="B482" s="8">
        <v>12</v>
      </c>
      <c r="C482" s="8" t="s">
        <v>82</v>
      </c>
      <c r="D482" s="23">
        <v>0</v>
      </c>
      <c r="E482" s="8" t="s">
        <v>125</v>
      </c>
    </row>
    <row r="483" spans="1:5" x14ac:dyDescent="0.35">
      <c r="A483" s="8">
        <v>4</v>
      </c>
      <c r="B483" s="8">
        <v>12</v>
      </c>
      <c r="C483" s="8" t="s">
        <v>83</v>
      </c>
      <c r="D483" s="23">
        <v>21000</v>
      </c>
      <c r="E483" s="8" t="s">
        <v>125</v>
      </c>
    </row>
    <row r="484" spans="1:5" x14ac:dyDescent="0.35">
      <c r="A484" s="8">
        <v>4</v>
      </c>
      <c r="B484" s="8">
        <v>12</v>
      </c>
      <c r="C484" s="8" t="s">
        <v>84</v>
      </c>
      <c r="D484" s="23">
        <v>310000</v>
      </c>
      <c r="E484" s="8" t="s">
        <v>125</v>
      </c>
    </row>
    <row r="485" spans="1:5" x14ac:dyDescent="0.35">
      <c r="A485" s="8">
        <v>4</v>
      </c>
      <c r="B485" s="8">
        <v>13</v>
      </c>
      <c r="C485" s="8" t="s">
        <v>77</v>
      </c>
      <c r="D485" s="23">
        <v>975706</v>
      </c>
      <c r="E485" s="8" t="s">
        <v>125</v>
      </c>
    </row>
    <row r="486" spans="1:5" x14ac:dyDescent="0.35">
      <c r="A486" s="8">
        <v>4</v>
      </c>
      <c r="B486" s="8">
        <v>13</v>
      </c>
      <c r="C486" s="8" t="s">
        <v>78</v>
      </c>
      <c r="D486" s="23">
        <v>8000</v>
      </c>
      <c r="E486" s="8" t="s">
        <v>125</v>
      </c>
    </row>
    <row r="487" spans="1:5" x14ac:dyDescent="0.35">
      <c r="A487" s="8">
        <v>4</v>
      </c>
      <c r="B487" s="8">
        <v>13</v>
      </c>
      <c r="C487" s="8" t="s">
        <v>80</v>
      </c>
      <c r="D487" s="23">
        <v>630192</v>
      </c>
      <c r="E487" s="8" t="s">
        <v>125</v>
      </c>
    </row>
    <row r="488" spans="1:5" x14ac:dyDescent="0.35">
      <c r="A488" s="8">
        <v>4</v>
      </c>
      <c r="B488" s="8">
        <v>13</v>
      </c>
      <c r="C488" s="8" t="s">
        <v>63</v>
      </c>
      <c r="D488" s="23">
        <v>0</v>
      </c>
      <c r="E488" s="8" t="s">
        <v>125</v>
      </c>
    </row>
    <row r="489" spans="1:5" x14ac:dyDescent="0.35">
      <c r="A489" s="8">
        <v>4</v>
      </c>
      <c r="B489" s="8">
        <v>13</v>
      </c>
      <c r="C489" s="8" t="s">
        <v>81</v>
      </c>
      <c r="D489" s="23">
        <v>95000</v>
      </c>
      <c r="E489" s="8" t="s">
        <v>125</v>
      </c>
    </row>
    <row r="490" spans="1:5" x14ac:dyDescent="0.35">
      <c r="A490" s="8">
        <v>4</v>
      </c>
      <c r="B490" s="8">
        <v>13</v>
      </c>
      <c r="C490" s="8" t="s">
        <v>82</v>
      </c>
      <c r="D490" s="23">
        <v>0</v>
      </c>
      <c r="E490" s="8" t="s">
        <v>125</v>
      </c>
    </row>
    <row r="491" spans="1:5" x14ac:dyDescent="0.35">
      <c r="A491" s="8">
        <v>4</v>
      </c>
      <c r="B491" s="8">
        <v>13</v>
      </c>
      <c r="C491" s="8" t="s">
        <v>83</v>
      </c>
      <c r="D491" s="23">
        <v>21000</v>
      </c>
      <c r="E491" s="8" t="s">
        <v>125</v>
      </c>
    </row>
    <row r="492" spans="1:5" x14ac:dyDescent="0.35">
      <c r="A492" s="8">
        <v>4</v>
      </c>
      <c r="B492" s="8">
        <v>13</v>
      </c>
      <c r="C492" s="8" t="s">
        <v>84</v>
      </c>
      <c r="D492" s="23">
        <v>0</v>
      </c>
      <c r="E492" s="8" t="s">
        <v>125</v>
      </c>
    </row>
    <row r="493" spans="1:5" x14ac:dyDescent="0.35">
      <c r="A493" s="8">
        <v>4</v>
      </c>
      <c r="B493" s="8">
        <v>14</v>
      </c>
      <c r="C493" s="8" t="s">
        <v>77</v>
      </c>
      <c r="D493" s="23">
        <v>925169</v>
      </c>
      <c r="E493" s="8" t="s">
        <v>125</v>
      </c>
    </row>
    <row r="494" spans="1:5" x14ac:dyDescent="0.35">
      <c r="A494" s="8">
        <v>4</v>
      </c>
      <c r="B494" s="8">
        <v>14</v>
      </c>
      <c r="C494" s="8" t="s">
        <v>78</v>
      </c>
      <c r="D494" s="23">
        <v>8000</v>
      </c>
      <c r="E494" s="8" t="s">
        <v>125</v>
      </c>
    </row>
    <row r="495" spans="1:5" x14ac:dyDescent="0.35">
      <c r="A495" s="8">
        <v>4</v>
      </c>
      <c r="B495" s="8">
        <v>14</v>
      </c>
      <c r="C495" s="8" t="s">
        <v>80</v>
      </c>
      <c r="D495" s="23">
        <v>598321</v>
      </c>
      <c r="E495" s="8" t="s">
        <v>125</v>
      </c>
    </row>
    <row r="496" spans="1:5" x14ac:dyDescent="0.35">
      <c r="A496" s="8">
        <v>4</v>
      </c>
      <c r="B496" s="8">
        <v>14</v>
      </c>
      <c r="C496" s="8" t="s">
        <v>63</v>
      </c>
      <c r="D496" s="23">
        <v>318000</v>
      </c>
      <c r="E496" s="8" t="s">
        <v>125</v>
      </c>
    </row>
    <row r="497" spans="1:5" x14ac:dyDescent="0.35">
      <c r="A497" s="8">
        <v>4</v>
      </c>
      <c r="B497" s="8">
        <v>14</v>
      </c>
      <c r="C497" s="8" t="s">
        <v>81</v>
      </c>
      <c r="D497" s="23">
        <v>95000</v>
      </c>
      <c r="E497" s="8" t="s">
        <v>125</v>
      </c>
    </row>
    <row r="498" spans="1:5" x14ac:dyDescent="0.35">
      <c r="A498" s="8">
        <v>4</v>
      </c>
      <c r="B498" s="8">
        <v>14</v>
      </c>
      <c r="C498" s="8" t="s">
        <v>82</v>
      </c>
      <c r="D498" s="23">
        <v>150000</v>
      </c>
      <c r="E498" s="8" t="s">
        <v>125</v>
      </c>
    </row>
    <row r="499" spans="1:5" x14ac:dyDescent="0.35">
      <c r="A499" s="8">
        <v>4</v>
      </c>
      <c r="B499" s="8">
        <v>14</v>
      </c>
      <c r="C499" s="8" t="s">
        <v>83</v>
      </c>
      <c r="D499" s="23">
        <v>21000</v>
      </c>
      <c r="E499" s="8" t="s">
        <v>125</v>
      </c>
    </row>
    <row r="500" spans="1:5" x14ac:dyDescent="0.35">
      <c r="A500" s="8">
        <v>4</v>
      </c>
      <c r="B500" s="8">
        <v>14</v>
      </c>
      <c r="C500" s="8" t="s">
        <v>84</v>
      </c>
      <c r="D500" s="23">
        <v>0</v>
      </c>
      <c r="E500" s="8" t="s">
        <v>125</v>
      </c>
    </row>
    <row r="501" spans="1:5" x14ac:dyDescent="0.35">
      <c r="A501" s="8">
        <v>4</v>
      </c>
      <c r="B501" s="8">
        <v>15</v>
      </c>
      <c r="C501" s="8" t="s">
        <v>77</v>
      </c>
      <c r="D501" s="23">
        <v>853909</v>
      </c>
      <c r="E501" s="8" t="s">
        <v>125</v>
      </c>
    </row>
    <row r="502" spans="1:5" x14ac:dyDescent="0.35">
      <c r="A502" s="8">
        <v>4</v>
      </c>
      <c r="B502" s="8">
        <v>15</v>
      </c>
      <c r="C502" s="8" t="s">
        <v>78</v>
      </c>
      <c r="D502" s="23">
        <v>8000</v>
      </c>
      <c r="E502" s="8" t="s">
        <v>125</v>
      </c>
    </row>
    <row r="503" spans="1:5" x14ac:dyDescent="0.35">
      <c r="A503" s="8">
        <v>4</v>
      </c>
      <c r="B503" s="8">
        <v>15</v>
      </c>
      <c r="C503" s="8" t="s">
        <v>80</v>
      </c>
      <c r="D503" s="23">
        <v>559238</v>
      </c>
      <c r="E503" s="8" t="s">
        <v>125</v>
      </c>
    </row>
    <row r="504" spans="1:5" x14ac:dyDescent="0.35">
      <c r="A504" s="8">
        <v>4</v>
      </c>
      <c r="B504" s="8">
        <v>15</v>
      </c>
      <c r="C504" s="8" t="s">
        <v>63</v>
      </c>
      <c r="D504" s="23">
        <v>0</v>
      </c>
      <c r="E504" s="8" t="s">
        <v>125</v>
      </c>
    </row>
    <row r="505" spans="1:5" x14ac:dyDescent="0.35">
      <c r="A505" s="8">
        <v>4</v>
      </c>
      <c r="B505" s="8">
        <v>15</v>
      </c>
      <c r="C505" s="8" t="s">
        <v>81</v>
      </c>
      <c r="D505" s="23">
        <v>95000</v>
      </c>
      <c r="E505" s="8" t="s">
        <v>125</v>
      </c>
    </row>
    <row r="506" spans="1:5" x14ac:dyDescent="0.35">
      <c r="A506" s="8">
        <v>4</v>
      </c>
      <c r="B506" s="8">
        <v>15</v>
      </c>
      <c r="C506" s="8" t="s">
        <v>82</v>
      </c>
      <c r="D506" s="23">
        <v>0</v>
      </c>
      <c r="E506" s="8" t="s">
        <v>125</v>
      </c>
    </row>
    <row r="507" spans="1:5" x14ac:dyDescent="0.35">
      <c r="A507" s="8">
        <v>4</v>
      </c>
      <c r="B507" s="8">
        <v>15</v>
      </c>
      <c r="C507" s="8" t="s">
        <v>83</v>
      </c>
      <c r="D507" s="23">
        <v>21000</v>
      </c>
      <c r="E507" s="8" t="s">
        <v>125</v>
      </c>
    </row>
    <row r="508" spans="1:5" x14ac:dyDescent="0.35">
      <c r="A508" s="8">
        <v>4</v>
      </c>
      <c r="B508" s="8">
        <v>15</v>
      </c>
      <c r="C508" s="8" t="s">
        <v>84</v>
      </c>
      <c r="D508" s="23">
        <v>0</v>
      </c>
      <c r="E508" s="8" t="s">
        <v>125</v>
      </c>
    </row>
    <row r="509" spans="1:5" x14ac:dyDescent="0.35">
      <c r="A509" s="8">
        <v>4</v>
      </c>
      <c r="B509" s="8">
        <v>16</v>
      </c>
      <c r="C509" s="8" t="s">
        <v>77</v>
      </c>
      <c r="D509" s="23">
        <v>767677</v>
      </c>
      <c r="E509" s="8" t="s">
        <v>125</v>
      </c>
    </row>
    <row r="510" spans="1:5" x14ac:dyDescent="0.35">
      <c r="A510" s="8">
        <v>4</v>
      </c>
      <c r="B510" s="8">
        <v>16</v>
      </c>
      <c r="C510" s="8" t="s">
        <v>78</v>
      </c>
      <c r="D510" s="23">
        <v>8000</v>
      </c>
      <c r="E510" s="8" t="s">
        <v>125</v>
      </c>
    </row>
    <row r="511" spans="1:5" x14ac:dyDescent="0.35">
      <c r="A511" s="8">
        <v>4</v>
      </c>
      <c r="B511" s="8">
        <v>16</v>
      </c>
      <c r="C511" s="8" t="s">
        <v>80</v>
      </c>
      <c r="D511" s="23">
        <v>513257</v>
      </c>
      <c r="E511" s="8" t="s">
        <v>125</v>
      </c>
    </row>
    <row r="512" spans="1:5" x14ac:dyDescent="0.35">
      <c r="A512" s="8">
        <v>4</v>
      </c>
      <c r="B512" s="8">
        <v>16</v>
      </c>
      <c r="C512" s="8" t="s">
        <v>63</v>
      </c>
      <c r="D512" s="23">
        <v>413000</v>
      </c>
      <c r="E512" s="8" t="s">
        <v>125</v>
      </c>
    </row>
    <row r="513" spans="1:5" x14ac:dyDescent="0.35">
      <c r="A513" s="8">
        <v>4</v>
      </c>
      <c r="B513" s="8">
        <v>16</v>
      </c>
      <c r="C513" s="8" t="s">
        <v>81</v>
      </c>
      <c r="D513" s="23">
        <v>95000</v>
      </c>
      <c r="E513" s="8" t="s">
        <v>125</v>
      </c>
    </row>
    <row r="514" spans="1:5" x14ac:dyDescent="0.35">
      <c r="A514" s="8">
        <v>4</v>
      </c>
      <c r="B514" s="8">
        <v>16</v>
      </c>
      <c r="C514" s="8" t="s">
        <v>82</v>
      </c>
      <c r="D514" s="23">
        <v>0</v>
      </c>
      <c r="E514" s="8" t="s">
        <v>125</v>
      </c>
    </row>
    <row r="515" spans="1:5" x14ac:dyDescent="0.35">
      <c r="A515" s="8">
        <v>4</v>
      </c>
      <c r="B515" s="8">
        <v>16</v>
      </c>
      <c r="C515" s="8" t="s">
        <v>83</v>
      </c>
      <c r="D515" s="23">
        <v>21000</v>
      </c>
      <c r="E515" s="8" t="s">
        <v>125</v>
      </c>
    </row>
    <row r="516" spans="1:5" x14ac:dyDescent="0.35">
      <c r="A516" s="8">
        <v>4</v>
      </c>
      <c r="B516" s="8">
        <v>16</v>
      </c>
      <c r="C516" s="8" t="s">
        <v>84</v>
      </c>
      <c r="D516" s="23">
        <v>0</v>
      </c>
      <c r="E516" s="8" t="s">
        <v>125</v>
      </c>
    </row>
    <row r="517" spans="1:5" x14ac:dyDescent="0.35">
      <c r="A517" s="8">
        <v>4</v>
      </c>
      <c r="B517" s="8">
        <v>17</v>
      </c>
      <c r="C517" s="8" t="s">
        <v>77</v>
      </c>
      <c r="D517" s="23">
        <v>770228</v>
      </c>
      <c r="E517" s="8" t="s">
        <v>125</v>
      </c>
    </row>
    <row r="518" spans="1:5" x14ac:dyDescent="0.35">
      <c r="A518" s="8">
        <v>4</v>
      </c>
      <c r="B518" s="8">
        <v>17</v>
      </c>
      <c r="C518" s="8" t="s">
        <v>78</v>
      </c>
      <c r="D518" s="23">
        <v>8000</v>
      </c>
      <c r="E518" s="8" t="s">
        <v>125</v>
      </c>
    </row>
    <row r="519" spans="1:5" x14ac:dyDescent="0.35">
      <c r="A519" s="8">
        <v>4</v>
      </c>
      <c r="B519" s="8">
        <v>17</v>
      </c>
      <c r="C519" s="8" t="s">
        <v>80</v>
      </c>
      <c r="D519" s="23">
        <v>479013</v>
      </c>
      <c r="E519" s="8" t="s">
        <v>125</v>
      </c>
    </row>
    <row r="520" spans="1:5" x14ac:dyDescent="0.35">
      <c r="A520" s="8">
        <v>4</v>
      </c>
      <c r="B520" s="8">
        <v>17</v>
      </c>
      <c r="C520" s="8" t="s">
        <v>63</v>
      </c>
      <c r="D520" s="23">
        <v>0</v>
      </c>
      <c r="E520" s="8" t="s">
        <v>125</v>
      </c>
    </row>
    <row r="521" spans="1:5" x14ac:dyDescent="0.35">
      <c r="A521" s="8">
        <v>4</v>
      </c>
      <c r="B521" s="8">
        <v>17</v>
      </c>
      <c r="C521" s="8" t="s">
        <v>81</v>
      </c>
      <c r="D521" s="23">
        <v>95000</v>
      </c>
      <c r="E521" s="8" t="s">
        <v>125</v>
      </c>
    </row>
    <row r="522" spans="1:5" x14ac:dyDescent="0.35">
      <c r="A522" s="8">
        <v>4</v>
      </c>
      <c r="B522" s="8">
        <v>17</v>
      </c>
      <c r="C522" s="8" t="s">
        <v>82</v>
      </c>
      <c r="D522" s="23">
        <v>0</v>
      </c>
      <c r="E522" s="8" t="s">
        <v>125</v>
      </c>
    </row>
    <row r="523" spans="1:5" x14ac:dyDescent="0.35">
      <c r="A523" s="8">
        <v>4</v>
      </c>
      <c r="B523" s="8">
        <v>17</v>
      </c>
      <c r="C523" s="8" t="s">
        <v>83</v>
      </c>
      <c r="D523" s="23">
        <v>21000</v>
      </c>
      <c r="E523" s="8" t="s">
        <v>125</v>
      </c>
    </row>
    <row r="524" spans="1:5" x14ac:dyDescent="0.35">
      <c r="A524" s="8">
        <v>4</v>
      </c>
      <c r="B524" s="8">
        <v>17</v>
      </c>
      <c r="C524" s="8" t="s">
        <v>84</v>
      </c>
      <c r="D524" s="23">
        <v>0</v>
      </c>
      <c r="E524" s="8" t="s">
        <v>125</v>
      </c>
    </row>
    <row r="525" spans="1:5" x14ac:dyDescent="0.35">
      <c r="A525" s="8">
        <v>1</v>
      </c>
      <c r="B525" s="8">
        <v>1</v>
      </c>
      <c r="C525" s="8" t="s">
        <v>77</v>
      </c>
      <c r="D525" s="23">
        <v>905000</v>
      </c>
      <c r="E525" s="8" t="s">
        <v>106</v>
      </c>
    </row>
    <row r="526" spans="1:5" x14ac:dyDescent="0.35">
      <c r="A526" s="8">
        <v>1</v>
      </c>
      <c r="B526" s="8">
        <v>1</v>
      </c>
      <c r="C526" s="8" t="s">
        <v>78</v>
      </c>
      <c r="D526" s="23">
        <v>8000</v>
      </c>
      <c r="E526" s="8" t="s">
        <v>106</v>
      </c>
    </row>
    <row r="527" spans="1:5" x14ac:dyDescent="0.35">
      <c r="A527" s="8">
        <v>1</v>
      </c>
      <c r="B527" s="8">
        <v>1</v>
      </c>
      <c r="C527" s="8" t="s">
        <v>80</v>
      </c>
      <c r="D527" s="23">
        <v>580000</v>
      </c>
      <c r="E527" s="8" t="s">
        <v>106</v>
      </c>
    </row>
    <row r="528" spans="1:5" x14ac:dyDescent="0.35">
      <c r="A528" s="8">
        <v>1</v>
      </c>
      <c r="B528" s="8">
        <v>1</v>
      </c>
      <c r="C528" s="8" t="s">
        <v>63</v>
      </c>
      <c r="D528" s="23">
        <v>0</v>
      </c>
      <c r="E528" s="8" t="s">
        <v>106</v>
      </c>
    </row>
    <row r="529" spans="1:5" x14ac:dyDescent="0.35">
      <c r="A529" s="8">
        <v>1</v>
      </c>
      <c r="B529" s="8">
        <v>1</v>
      </c>
      <c r="C529" s="8" t="s">
        <v>81</v>
      </c>
      <c r="D529" s="23">
        <v>93000</v>
      </c>
      <c r="E529" s="8" t="s">
        <v>106</v>
      </c>
    </row>
    <row r="530" spans="1:5" x14ac:dyDescent="0.35">
      <c r="A530" s="8">
        <v>1</v>
      </c>
      <c r="B530" s="8">
        <v>1</v>
      </c>
      <c r="C530" s="8" t="s">
        <v>82</v>
      </c>
      <c r="D530" s="23">
        <v>0</v>
      </c>
      <c r="E530" s="8" t="s">
        <v>106</v>
      </c>
    </row>
    <row r="531" spans="1:5" x14ac:dyDescent="0.35">
      <c r="A531" s="8">
        <v>1</v>
      </c>
      <c r="B531" s="8">
        <v>1</v>
      </c>
      <c r="C531" s="8" t="s">
        <v>83</v>
      </c>
      <c r="D531" s="23">
        <v>21000</v>
      </c>
      <c r="E531" s="8" t="s">
        <v>106</v>
      </c>
    </row>
    <row r="532" spans="1:5" x14ac:dyDescent="0.35">
      <c r="A532" s="8">
        <v>1</v>
      </c>
      <c r="B532" s="8">
        <v>1</v>
      </c>
      <c r="C532" s="8" t="s">
        <v>84</v>
      </c>
      <c r="D532" s="23">
        <v>0</v>
      </c>
      <c r="E532" s="8" t="s">
        <v>106</v>
      </c>
    </row>
    <row r="533" spans="1:5" x14ac:dyDescent="0.35">
      <c r="A533" s="8">
        <v>2</v>
      </c>
      <c r="B533" s="8">
        <v>2</v>
      </c>
      <c r="C533" s="8" t="s">
        <v>77</v>
      </c>
      <c r="D533" s="23">
        <v>935000</v>
      </c>
      <c r="E533" s="8" t="s">
        <v>106</v>
      </c>
    </row>
    <row r="534" spans="1:5" x14ac:dyDescent="0.35">
      <c r="A534" s="8">
        <v>2</v>
      </c>
      <c r="B534" s="8">
        <v>2</v>
      </c>
      <c r="C534" s="8" t="s">
        <v>78</v>
      </c>
      <c r="D534" s="23">
        <v>8000</v>
      </c>
      <c r="E534" s="8" t="s">
        <v>106</v>
      </c>
    </row>
    <row r="535" spans="1:5" x14ac:dyDescent="0.35">
      <c r="A535" s="8">
        <v>2</v>
      </c>
      <c r="B535" s="8">
        <v>2</v>
      </c>
      <c r="C535" s="8" t="s">
        <v>80</v>
      </c>
      <c r="D535" s="23">
        <v>605000</v>
      </c>
      <c r="E535" s="8" t="s">
        <v>106</v>
      </c>
    </row>
    <row r="536" spans="1:5" x14ac:dyDescent="0.35">
      <c r="A536" s="8">
        <v>2</v>
      </c>
      <c r="B536" s="8">
        <v>2</v>
      </c>
      <c r="C536" s="8" t="s">
        <v>63</v>
      </c>
      <c r="D536" s="23">
        <v>315000</v>
      </c>
      <c r="E536" s="8" t="s">
        <v>106</v>
      </c>
    </row>
    <row r="537" spans="1:5" x14ac:dyDescent="0.35">
      <c r="A537" s="8">
        <v>2</v>
      </c>
      <c r="B537" s="8">
        <v>2</v>
      </c>
      <c r="C537" s="8" t="s">
        <v>81</v>
      </c>
      <c r="D537" s="23">
        <v>94000</v>
      </c>
      <c r="E537" s="8" t="s">
        <v>106</v>
      </c>
    </row>
    <row r="538" spans="1:5" x14ac:dyDescent="0.35">
      <c r="A538" s="8">
        <v>2</v>
      </c>
      <c r="B538" s="8">
        <v>2</v>
      </c>
      <c r="C538" s="8" t="s">
        <v>82</v>
      </c>
      <c r="D538" s="23">
        <v>0</v>
      </c>
      <c r="E538" s="8" t="s">
        <v>106</v>
      </c>
    </row>
    <row r="539" spans="1:5" x14ac:dyDescent="0.35">
      <c r="A539" s="8">
        <v>2</v>
      </c>
      <c r="B539" s="8">
        <v>2</v>
      </c>
      <c r="C539" s="8" t="s">
        <v>83</v>
      </c>
      <c r="D539" s="23">
        <v>21000</v>
      </c>
      <c r="E539" s="8" t="s">
        <v>106</v>
      </c>
    </row>
    <row r="540" spans="1:5" x14ac:dyDescent="0.35">
      <c r="A540" s="8">
        <v>2</v>
      </c>
      <c r="B540" s="8">
        <v>2</v>
      </c>
      <c r="C540" s="8" t="s">
        <v>84</v>
      </c>
      <c r="D540" s="23">
        <v>0</v>
      </c>
      <c r="E540" s="8" t="s">
        <v>106</v>
      </c>
    </row>
    <row r="541" spans="1:5" x14ac:dyDescent="0.35">
      <c r="A541" s="8">
        <v>3</v>
      </c>
      <c r="B541" s="8">
        <v>3</v>
      </c>
      <c r="C541" s="8" t="s">
        <v>77</v>
      </c>
      <c r="D541" s="23">
        <v>1142000</v>
      </c>
      <c r="E541" s="8" t="s">
        <v>106</v>
      </c>
    </row>
    <row r="542" spans="1:5" x14ac:dyDescent="0.35">
      <c r="A542" s="8">
        <v>3</v>
      </c>
      <c r="B542" s="8">
        <v>3</v>
      </c>
      <c r="C542" s="8" t="s">
        <v>78</v>
      </c>
      <c r="D542" s="23">
        <v>8000</v>
      </c>
      <c r="E542" s="8" t="s">
        <v>106</v>
      </c>
    </row>
    <row r="543" spans="1:5" x14ac:dyDescent="0.35">
      <c r="A543" s="8">
        <v>3</v>
      </c>
      <c r="B543" s="8">
        <v>3</v>
      </c>
      <c r="C543" s="8" t="s">
        <v>80</v>
      </c>
      <c r="D543" s="23">
        <v>598000</v>
      </c>
      <c r="E543" s="8" t="s">
        <v>106</v>
      </c>
    </row>
    <row r="544" spans="1:5" x14ac:dyDescent="0.35">
      <c r="A544" s="8">
        <v>3</v>
      </c>
      <c r="B544" s="8">
        <v>3</v>
      </c>
      <c r="C544" s="8" t="s">
        <v>63</v>
      </c>
      <c r="D544" s="23">
        <v>0</v>
      </c>
      <c r="E544" s="8" t="s">
        <v>106</v>
      </c>
    </row>
    <row r="545" spans="1:5" x14ac:dyDescent="0.35">
      <c r="A545" s="8">
        <v>3</v>
      </c>
      <c r="B545" s="8">
        <v>3</v>
      </c>
      <c r="C545" s="8" t="s">
        <v>81</v>
      </c>
      <c r="D545" s="23">
        <v>91000</v>
      </c>
      <c r="E545" s="8" t="s">
        <v>106</v>
      </c>
    </row>
    <row r="546" spans="1:5" x14ac:dyDescent="0.35">
      <c r="A546" s="8">
        <v>3</v>
      </c>
      <c r="B546" s="8">
        <v>3</v>
      </c>
      <c r="C546" s="8" t="s">
        <v>82</v>
      </c>
      <c r="D546" s="23">
        <v>45000</v>
      </c>
      <c r="E546" s="8" t="s">
        <v>106</v>
      </c>
    </row>
    <row r="547" spans="1:5" x14ac:dyDescent="0.35">
      <c r="A547" s="8">
        <v>3</v>
      </c>
      <c r="B547" s="8">
        <v>3</v>
      </c>
      <c r="C547" s="8" t="s">
        <v>83</v>
      </c>
      <c r="D547" s="23">
        <v>21000</v>
      </c>
      <c r="E547" s="8" t="s">
        <v>106</v>
      </c>
    </row>
    <row r="548" spans="1:5" x14ac:dyDescent="0.35">
      <c r="A548" s="8">
        <v>3</v>
      </c>
      <c r="B548" s="8">
        <v>3</v>
      </c>
      <c r="C548" s="8" t="s">
        <v>84</v>
      </c>
      <c r="D548" s="23">
        <v>0</v>
      </c>
      <c r="E548" s="8" t="s">
        <v>106</v>
      </c>
    </row>
    <row r="549" spans="1:5" x14ac:dyDescent="0.35">
      <c r="A549" s="8">
        <v>4</v>
      </c>
      <c r="B549" s="8">
        <v>4</v>
      </c>
      <c r="C549" s="8" t="s">
        <v>77</v>
      </c>
      <c r="D549" s="23">
        <v>968000</v>
      </c>
      <c r="E549" s="8" t="s">
        <v>106</v>
      </c>
    </row>
    <row r="550" spans="1:5" x14ac:dyDescent="0.35">
      <c r="A550" s="8">
        <v>4</v>
      </c>
      <c r="B550" s="8">
        <v>4</v>
      </c>
      <c r="C550" s="8" t="s">
        <v>78</v>
      </c>
      <c r="D550" s="23">
        <v>8000</v>
      </c>
      <c r="E550" s="8" t="s">
        <v>106</v>
      </c>
    </row>
    <row r="551" spans="1:5" x14ac:dyDescent="0.35">
      <c r="A551" s="8">
        <v>4</v>
      </c>
      <c r="B551" s="8">
        <v>4</v>
      </c>
      <c r="C551" s="8" t="s">
        <v>80</v>
      </c>
      <c r="D551" s="23">
        <v>642000</v>
      </c>
      <c r="E551" s="8" t="s">
        <v>106</v>
      </c>
    </row>
    <row r="552" spans="1:5" x14ac:dyDescent="0.35">
      <c r="A552" s="8">
        <v>4</v>
      </c>
      <c r="B552" s="8">
        <v>4</v>
      </c>
      <c r="C552" s="8" t="s">
        <v>63</v>
      </c>
      <c r="D552" s="23">
        <v>322000</v>
      </c>
      <c r="E552" s="8" t="s">
        <v>106</v>
      </c>
    </row>
    <row r="553" spans="1:5" x14ac:dyDescent="0.35">
      <c r="A553" s="8">
        <v>4</v>
      </c>
      <c r="B553" s="8">
        <v>4</v>
      </c>
      <c r="C553" s="8" t="s">
        <v>81</v>
      </c>
      <c r="D553" s="23">
        <v>96000</v>
      </c>
      <c r="E553" s="8" t="s">
        <v>106</v>
      </c>
    </row>
    <row r="554" spans="1:5" x14ac:dyDescent="0.35">
      <c r="A554" s="8">
        <v>4</v>
      </c>
      <c r="B554" s="8">
        <v>4</v>
      </c>
      <c r="C554" s="8" t="s">
        <v>82</v>
      </c>
      <c r="D554" s="23">
        <v>0</v>
      </c>
      <c r="E554" s="8" t="s">
        <v>106</v>
      </c>
    </row>
    <row r="555" spans="1:5" x14ac:dyDescent="0.35">
      <c r="A555" s="8">
        <v>4</v>
      </c>
      <c r="B555" s="8">
        <v>4</v>
      </c>
      <c r="C555" s="8" t="s">
        <v>83</v>
      </c>
      <c r="D555" s="23">
        <v>21000</v>
      </c>
      <c r="E555" s="8" t="s">
        <v>106</v>
      </c>
    </row>
    <row r="556" spans="1:5" x14ac:dyDescent="0.35">
      <c r="A556" s="8">
        <v>4</v>
      </c>
      <c r="B556" s="8">
        <v>4</v>
      </c>
      <c r="C556" s="8" t="s">
        <v>84</v>
      </c>
      <c r="D556" s="23">
        <v>0</v>
      </c>
      <c r="E556" s="8" t="s">
        <v>106</v>
      </c>
    </row>
  </sheetData>
  <autoFilter ref="A4:E556" xr:uid="{00000000-0009-0000-0000-000008000000}"/>
  <mergeCells count="1">
    <mergeCell ref="A2:F2"/>
  </mergeCells>
  <pageMargins left="0.75" right="0.75" top="1" bottom="1"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pageSetUpPr fitToPage="1"/>
  </sheetPr>
  <dimension ref="B1:F69"/>
  <sheetViews>
    <sheetView showGridLines="0" zoomScaleNormal="100" workbookViewId="0">
      <pane ySplit="2" topLeftCell="A3" activePane="bottomLeft" state="frozen"/>
      <selection pane="bottomLeft"/>
    </sheetView>
  </sheetViews>
  <sheetFormatPr defaultColWidth="8.6328125" defaultRowHeight="14.5" x14ac:dyDescent="0.35"/>
  <cols>
    <col min="1" max="1" width="2" customWidth="1"/>
    <col min="2" max="2" width="22" customWidth="1"/>
    <col min="3" max="3" width="17.6328125" customWidth="1"/>
    <col min="4" max="4" width="20.7265625" customWidth="1"/>
    <col min="5" max="5" width="23" customWidth="1"/>
    <col min="6" max="6" width="11" customWidth="1"/>
  </cols>
  <sheetData>
    <row r="1" spans="2:6" ht="18" customHeight="1" x14ac:dyDescent="0.4">
      <c r="B1" s="15" t="s">
        <v>183</v>
      </c>
    </row>
    <row r="3" spans="2:6" x14ac:dyDescent="0.35">
      <c r="B3" s="5" t="s">
        <v>104</v>
      </c>
      <c r="C3" s="11"/>
      <c r="D3" s="11"/>
      <c r="E3" s="11"/>
      <c r="F3" s="11"/>
    </row>
    <row r="4" spans="2:6" x14ac:dyDescent="0.35">
      <c r="B4" s="16" t="s">
        <v>105</v>
      </c>
      <c r="C4" s="16" t="s">
        <v>106</v>
      </c>
      <c r="D4" s="16" t="s">
        <v>107</v>
      </c>
      <c r="E4" s="16" t="s">
        <v>108</v>
      </c>
      <c r="F4" s="16" t="s">
        <v>109</v>
      </c>
    </row>
    <row r="5" spans="2:6" x14ac:dyDescent="0.35">
      <c r="B5" s="17" t="s">
        <v>77</v>
      </c>
      <c r="C5" s="30">
        <f>SUMIFS('Snapshot Log'!$D:$D,'Snapshot Log'!$B:$B,1,'Snapshot Log'!$C:$C,$B5,'Snapshot Log'!$E:$E,"Actual")</f>
        <v>905000</v>
      </c>
      <c r="D5" s="30">
        <f>SUMIFS('Snapshot Log'!$D:$D,'Snapshot Log'!$A:$A,1-1,'Snapshot Log'!$B:$B,1,'Snapshot Log'!$C:$C,$B5,'Snapshot Log'!$E:$E,"Forecast")</f>
        <v>931500</v>
      </c>
      <c r="E5" s="30">
        <f t="shared" ref="E5:E12" si="0">C5-D5</f>
        <v>-26500</v>
      </c>
      <c r="F5" s="35">
        <f t="shared" ref="F5:F13" si="1">IFERROR(E5/D5,"n/a")</f>
        <v>-2.8448738593666131E-2</v>
      </c>
    </row>
    <row r="6" spans="2:6" x14ac:dyDescent="0.35">
      <c r="B6" s="17" t="s">
        <v>78</v>
      </c>
      <c r="C6" s="30">
        <f>SUMIFS('Snapshot Log'!$D:$D,'Snapshot Log'!$B:$B,1,'Snapshot Log'!$C:$C,$B6,'Snapshot Log'!$E:$E,"Actual")</f>
        <v>8000</v>
      </c>
      <c r="D6" s="30">
        <f>SUMIFS('Snapshot Log'!$D:$D,'Snapshot Log'!$A:$A,1-1,'Snapshot Log'!$B:$B,1,'Snapshot Log'!$C:$C,$B6,'Snapshot Log'!$E:$E,"Forecast")</f>
        <v>8000</v>
      </c>
      <c r="E6" s="30">
        <f t="shared" si="0"/>
        <v>0</v>
      </c>
      <c r="F6" s="35">
        <f t="shared" si="1"/>
        <v>0</v>
      </c>
    </row>
    <row r="7" spans="2:6" x14ac:dyDescent="0.35">
      <c r="B7" s="17" t="s">
        <v>80</v>
      </c>
      <c r="C7" s="30">
        <f>SUMIFS('Snapshot Log'!$D:$D,'Snapshot Log'!$B:$B,1,'Snapshot Log'!$C:$C,$B7,'Snapshot Log'!$E:$E,"Actual")</f>
        <v>580000</v>
      </c>
      <c r="D7" s="30">
        <f>SUMIFS('Snapshot Log'!$D:$D,'Snapshot Log'!$A:$A,1-1,'Snapshot Log'!$B:$B,1,'Snapshot Log'!$C:$C,$B7,'Snapshot Log'!$E:$E,"Forecast")</f>
        <v>588500</v>
      </c>
      <c r="E7" s="30">
        <f t="shared" si="0"/>
        <v>-8500</v>
      </c>
      <c r="F7" s="35">
        <f t="shared" si="1"/>
        <v>-1.4443500424808835E-2</v>
      </c>
    </row>
    <row r="8" spans="2:6" x14ac:dyDescent="0.35">
      <c r="B8" s="17" t="s">
        <v>63</v>
      </c>
      <c r="C8" s="30">
        <f>SUMIFS('Snapshot Log'!$D:$D,'Snapshot Log'!$B:$B,1,'Snapshot Log'!$C:$C,$B8,'Snapshot Log'!$E:$E,"Actual")</f>
        <v>0</v>
      </c>
      <c r="D8" s="30">
        <f>SUMIFS('Snapshot Log'!$D:$D,'Snapshot Log'!$A:$A,1-1,'Snapshot Log'!$B:$B,1,'Snapshot Log'!$C:$C,$B8,'Snapshot Log'!$E:$E,"Forecast")</f>
        <v>0</v>
      </c>
      <c r="E8" s="30">
        <f t="shared" si="0"/>
        <v>0</v>
      </c>
      <c r="F8" s="35" t="str">
        <f t="shared" si="1"/>
        <v>n/a</v>
      </c>
    </row>
    <row r="9" spans="2:6" x14ac:dyDescent="0.35">
      <c r="B9" s="17" t="s">
        <v>81</v>
      </c>
      <c r="C9" s="30">
        <f>SUMIFS('Snapshot Log'!$D:$D,'Snapshot Log'!$B:$B,1,'Snapshot Log'!$C:$C,$B9,'Snapshot Log'!$E:$E,"Actual")</f>
        <v>93000</v>
      </c>
      <c r="D9" s="30">
        <f>SUMIFS('Snapshot Log'!$D:$D,'Snapshot Log'!$A:$A,1-1,'Snapshot Log'!$B:$B,1,'Snapshot Log'!$C:$C,$B9,'Snapshot Log'!$E:$E,"Forecast")</f>
        <v>95000</v>
      </c>
      <c r="E9" s="30">
        <f t="shared" si="0"/>
        <v>-2000</v>
      </c>
      <c r="F9" s="35">
        <f t="shared" si="1"/>
        <v>-2.1052631578947368E-2</v>
      </c>
    </row>
    <row r="10" spans="2:6" x14ac:dyDescent="0.35">
      <c r="B10" s="17" t="s">
        <v>82</v>
      </c>
      <c r="C10" s="30">
        <f>SUMIFS('Snapshot Log'!$D:$D,'Snapshot Log'!$B:$B,1,'Snapshot Log'!$C:$C,$B10,'Snapshot Log'!$E:$E,"Actual")</f>
        <v>0</v>
      </c>
      <c r="D10" s="30">
        <f>SUMIFS('Snapshot Log'!$D:$D,'Snapshot Log'!$A:$A,1-1,'Snapshot Log'!$B:$B,1,'Snapshot Log'!$C:$C,$B10,'Snapshot Log'!$E:$E,"Forecast")</f>
        <v>0</v>
      </c>
      <c r="E10" s="30">
        <f t="shared" si="0"/>
        <v>0</v>
      </c>
      <c r="F10" s="35" t="str">
        <f t="shared" si="1"/>
        <v>n/a</v>
      </c>
    </row>
    <row r="11" spans="2:6" x14ac:dyDescent="0.35">
      <c r="B11" s="17" t="s">
        <v>83</v>
      </c>
      <c r="C11" s="30">
        <f>SUMIFS('Snapshot Log'!$D:$D,'Snapshot Log'!$B:$B,1,'Snapshot Log'!$C:$C,$B11,'Snapshot Log'!$E:$E,"Actual")</f>
        <v>21000</v>
      </c>
      <c r="D11" s="30">
        <f>SUMIFS('Snapshot Log'!$D:$D,'Snapshot Log'!$A:$A,1-1,'Snapshot Log'!$B:$B,1,'Snapshot Log'!$C:$C,$B11,'Snapshot Log'!$E:$E,"Forecast")</f>
        <v>21000</v>
      </c>
      <c r="E11" s="30">
        <f t="shared" si="0"/>
        <v>0</v>
      </c>
      <c r="F11" s="35">
        <f t="shared" si="1"/>
        <v>0</v>
      </c>
    </row>
    <row r="12" spans="2:6" x14ac:dyDescent="0.35">
      <c r="B12" s="17" t="s">
        <v>84</v>
      </c>
      <c r="C12" s="30">
        <f>SUMIFS('Snapshot Log'!$D:$D,'Snapshot Log'!$B:$B,1,'Snapshot Log'!$C:$C,$B12,'Snapshot Log'!$E:$E,"Actual")</f>
        <v>0</v>
      </c>
      <c r="D12" s="30">
        <f>SUMIFS('Snapshot Log'!$D:$D,'Snapshot Log'!$A:$A,1-1,'Snapshot Log'!$B:$B,1,'Snapshot Log'!$C:$C,$B12,'Snapshot Log'!$E:$E,"Forecast")</f>
        <v>0</v>
      </c>
      <c r="E12" s="30">
        <f t="shared" si="0"/>
        <v>0</v>
      </c>
      <c r="F12" s="35" t="str">
        <f t="shared" si="1"/>
        <v>n/a</v>
      </c>
    </row>
    <row r="13" spans="2:6" x14ac:dyDescent="0.35">
      <c r="B13" s="19" t="s">
        <v>45</v>
      </c>
      <c r="C13" s="32">
        <f>SUM(C5:C12)</f>
        <v>1607000</v>
      </c>
      <c r="D13" s="32">
        <f>SUM(D5:D12)</f>
        <v>1644000</v>
      </c>
      <c r="E13" s="32">
        <f>SUM(E5:E12)</f>
        <v>-37000</v>
      </c>
      <c r="F13" s="20">
        <f t="shared" si="1"/>
        <v>-2.2506082725060828E-2</v>
      </c>
    </row>
    <row r="15" spans="2:6" x14ac:dyDescent="0.35">
      <c r="B15" s="5" t="s">
        <v>110</v>
      </c>
      <c r="C15" s="11"/>
      <c r="D15" s="11"/>
      <c r="E15" s="11"/>
      <c r="F15" s="11"/>
    </row>
    <row r="16" spans="2:6" x14ac:dyDescent="0.35">
      <c r="B16" s="16" t="s">
        <v>105</v>
      </c>
      <c r="C16" s="16" t="s">
        <v>106</v>
      </c>
      <c r="D16" s="16" t="s">
        <v>111</v>
      </c>
      <c r="E16" s="16" t="s">
        <v>108</v>
      </c>
      <c r="F16" s="16" t="s">
        <v>109</v>
      </c>
    </row>
    <row r="17" spans="2:6" x14ac:dyDescent="0.35">
      <c r="B17" s="17" t="s">
        <v>77</v>
      </c>
      <c r="C17" s="30">
        <f>SUMIFS('Snapshot Log'!$D:$D,'Snapshot Log'!$B:$B,2,'Snapshot Log'!$C:$C,$B17,'Snapshot Log'!$E:$E,"Actual")</f>
        <v>935000</v>
      </c>
      <c r="D17" s="30">
        <f>SUMIFS('Snapshot Log'!$D:$D,'Snapshot Log'!$A:$A,2-1,'Snapshot Log'!$B:$B,2,'Snapshot Log'!$C:$C,$B17,'Snapshot Log'!$E:$E,"Forecast")</f>
        <v>948500</v>
      </c>
      <c r="E17" s="30">
        <f t="shared" ref="E17:E24" si="2">C17-D17</f>
        <v>-13500</v>
      </c>
      <c r="F17" s="35">
        <f t="shared" ref="F17:F25" si="3">IFERROR(E17/D17,"n/a")</f>
        <v>-1.4232999472851872E-2</v>
      </c>
    </row>
    <row r="18" spans="2:6" x14ac:dyDescent="0.35">
      <c r="B18" s="17" t="s">
        <v>78</v>
      </c>
      <c r="C18" s="30">
        <f>SUMIFS('Snapshot Log'!$D:$D,'Snapshot Log'!$B:$B,2,'Snapshot Log'!$C:$C,$B18,'Snapshot Log'!$E:$E,"Actual")</f>
        <v>8000</v>
      </c>
      <c r="D18" s="30">
        <f>SUMIFS('Snapshot Log'!$D:$D,'Snapshot Log'!$A:$A,2-1,'Snapshot Log'!$B:$B,2,'Snapshot Log'!$C:$C,$B18,'Snapshot Log'!$E:$E,"Forecast")</f>
        <v>8000</v>
      </c>
      <c r="E18" s="30">
        <f t="shared" si="2"/>
        <v>0</v>
      </c>
      <c r="F18" s="35">
        <f t="shared" si="3"/>
        <v>0</v>
      </c>
    </row>
    <row r="19" spans="2:6" x14ac:dyDescent="0.35">
      <c r="B19" s="17" t="s">
        <v>80</v>
      </c>
      <c r="C19" s="30">
        <f>SUMIFS('Snapshot Log'!$D:$D,'Snapshot Log'!$B:$B,2,'Snapshot Log'!$C:$C,$B19,'Snapshot Log'!$E:$E,"Actual")</f>
        <v>605000</v>
      </c>
      <c r="D19" s="30">
        <f>SUMIFS('Snapshot Log'!$D:$D,'Snapshot Log'!$A:$A,2-1,'Snapshot Log'!$B:$B,2,'Snapshot Log'!$C:$C,$B19,'Snapshot Log'!$E:$E,"Forecast")</f>
        <v>598078</v>
      </c>
      <c r="E19" s="30">
        <f t="shared" si="2"/>
        <v>6922</v>
      </c>
      <c r="F19" s="35">
        <f t="shared" si="3"/>
        <v>1.1573741217700701E-2</v>
      </c>
    </row>
    <row r="20" spans="2:6" x14ac:dyDescent="0.35">
      <c r="B20" s="17" t="s">
        <v>63</v>
      </c>
      <c r="C20" s="30">
        <f>SUMIFS('Snapshot Log'!$D:$D,'Snapshot Log'!$B:$B,2,'Snapshot Log'!$C:$C,$B20,'Snapshot Log'!$E:$E,"Actual")</f>
        <v>315000</v>
      </c>
      <c r="D20" s="30">
        <f>SUMIFS('Snapshot Log'!$D:$D,'Snapshot Log'!$A:$A,2-1,'Snapshot Log'!$B:$B,2,'Snapshot Log'!$C:$C,$B20,'Snapshot Log'!$E:$E,"Forecast")</f>
        <v>312000</v>
      </c>
      <c r="E20" s="30">
        <f t="shared" si="2"/>
        <v>3000</v>
      </c>
      <c r="F20" s="35">
        <f t="shared" si="3"/>
        <v>9.6153846153846159E-3</v>
      </c>
    </row>
    <row r="21" spans="2:6" x14ac:dyDescent="0.35">
      <c r="B21" s="17" t="s">
        <v>81</v>
      </c>
      <c r="C21" s="30">
        <f>SUMIFS('Snapshot Log'!$D:$D,'Snapshot Log'!$B:$B,2,'Snapshot Log'!$C:$C,$B21,'Snapshot Log'!$E:$E,"Actual")</f>
        <v>94000</v>
      </c>
      <c r="D21" s="30">
        <f>SUMIFS('Snapshot Log'!$D:$D,'Snapshot Log'!$A:$A,2-1,'Snapshot Log'!$B:$B,2,'Snapshot Log'!$C:$C,$B21,'Snapshot Log'!$E:$E,"Forecast")</f>
        <v>95000</v>
      </c>
      <c r="E21" s="30">
        <f t="shared" si="2"/>
        <v>-1000</v>
      </c>
      <c r="F21" s="35">
        <f t="shared" si="3"/>
        <v>-1.0526315789473684E-2</v>
      </c>
    </row>
    <row r="22" spans="2:6" x14ac:dyDescent="0.35">
      <c r="B22" s="17" t="s">
        <v>82</v>
      </c>
      <c r="C22" s="30">
        <f>SUMIFS('Snapshot Log'!$D:$D,'Snapshot Log'!$B:$B,2,'Snapshot Log'!$C:$C,$B22,'Snapshot Log'!$E:$E,"Actual")</f>
        <v>0</v>
      </c>
      <c r="D22" s="30">
        <f>SUMIFS('Snapshot Log'!$D:$D,'Snapshot Log'!$A:$A,2-1,'Snapshot Log'!$B:$B,2,'Snapshot Log'!$C:$C,$B22,'Snapshot Log'!$E:$E,"Forecast")</f>
        <v>0</v>
      </c>
      <c r="E22" s="30">
        <f t="shared" si="2"/>
        <v>0</v>
      </c>
      <c r="F22" s="35" t="str">
        <f t="shared" si="3"/>
        <v>n/a</v>
      </c>
    </row>
    <row r="23" spans="2:6" x14ac:dyDescent="0.35">
      <c r="B23" s="17" t="s">
        <v>83</v>
      </c>
      <c r="C23" s="30">
        <f>SUMIFS('Snapshot Log'!$D:$D,'Snapshot Log'!$B:$B,2,'Snapshot Log'!$C:$C,$B23,'Snapshot Log'!$E:$E,"Actual")</f>
        <v>21000</v>
      </c>
      <c r="D23" s="30">
        <f>SUMIFS('Snapshot Log'!$D:$D,'Snapshot Log'!$A:$A,2-1,'Snapshot Log'!$B:$B,2,'Snapshot Log'!$C:$C,$B23,'Snapshot Log'!$E:$E,"Forecast")</f>
        <v>21000</v>
      </c>
      <c r="E23" s="30">
        <f t="shared" si="2"/>
        <v>0</v>
      </c>
      <c r="F23" s="35">
        <f t="shared" si="3"/>
        <v>0</v>
      </c>
    </row>
    <row r="24" spans="2:6" x14ac:dyDescent="0.35">
      <c r="B24" s="17" t="s">
        <v>84</v>
      </c>
      <c r="C24" s="30">
        <f>SUMIFS('Snapshot Log'!$D:$D,'Snapshot Log'!$B:$B,2,'Snapshot Log'!$C:$C,$B24,'Snapshot Log'!$E:$E,"Actual")</f>
        <v>0</v>
      </c>
      <c r="D24" s="30">
        <f>SUMIFS('Snapshot Log'!$D:$D,'Snapshot Log'!$A:$A,2-1,'Snapshot Log'!$B:$B,2,'Snapshot Log'!$C:$C,$B24,'Snapshot Log'!$E:$E,"Forecast")</f>
        <v>0</v>
      </c>
      <c r="E24" s="30">
        <f t="shared" si="2"/>
        <v>0</v>
      </c>
      <c r="F24" s="35" t="str">
        <f t="shared" si="3"/>
        <v>n/a</v>
      </c>
    </row>
    <row r="25" spans="2:6" x14ac:dyDescent="0.35">
      <c r="B25" s="19" t="s">
        <v>45</v>
      </c>
      <c r="C25" s="32">
        <f>SUM(C17:C24)</f>
        <v>1978000</v>
      </c>
      <c r="D25" s="32">
        <f>SUM(D17:D24)</f>
        <v>1982578</v>
      </c>
      <c r="E25" s="32">
        <f>SUM(E17:E24)</f>
        <v>-4578</v>
      </c>
      <c r="F25" s="20">
        <f t="shared" si="3"/>
        <v>-2.309114698135458E-3</v>
      </c>
    </row>
    <row r="27" spans="2:6" x14ac:dyDescent="0.35">
      <c r="B27" s="5" t="s">
        <v>112</v>
      </c>
      <c r="C27" s="11"/>
      <c r="D27" s="11"/>
      <c r="E27" s="11"/>
      <c r="F27" s="11"/>
    </row>
    <row r="28" spans="2:6" x14ac:dyDescent="0.35">
      <c r="B28" s="16" t="s">
        <v>105</v>
      </c>
      <c r="C28" s="16" t="s">
        <v>106</v>
      </c>
      <c r="D28" s="16" t="s">
        <v>111</v>
      </c>
      <c r="E28" s="16" t="s">
        <v>108</v>
      </c>
      <c r="F28" s="16" t="s">
        <v>109</v>
      </c>
    </row>
    <row r="29" spans="2:6" x14ac:dyDescent="0.35">
      <c r="B29" s="17" t="s">
        <v>77</v>
      </c>
      <c r="C29" s="30">
        <f>SUMIFS('Snapshot Log'!$D:$D,'Snapshot Log'!$B:$B,3,'Snapshot Log'!$C:$C,$B29,'Snapshot Log'!$E:$E,"Actual")</f>
        <v>1142000</v>
      </c>
      <c r="D29" s="30">
        <f>SUMIFS('Snapshot Log'!$D:$D,'Snapshot Log'!$A:$A,3-1,'Snapshot Log'!$B:$B,3,'Snapshot Log'!$C:$C,$B29,'Snapshot Log'!$E:$E,"Forecast")</f>
        <v>970309</v>
      </c>
      <c r="E29" s="30">
        <f t="shared" ref="E29:E36" si="4">C29-D29</f>
        <v>171691</v>
      </c>
      <c r="F29" s="35">
        <f t="shared" ref="F29:F37" si="5">IFERROR(E29/D29,"n/a")</f>
        <v>0.17694466401940001</v>
      </c>
    </row>
    <row r="30" spans="2:6" x14ac:dyDescent="0.35">
      <c r="B30" s="17" t="s">
        <v>78</v>
      </c>
      <c r="C30" s="30">
        <f>SUMIFS('Snapshot Log'!$D:$D,'Snapshot Log'!$B:$B,3,'Snapshot Log'!$C:$C,$B30,'Snapshot Log'!$E:$E,"Actual")</f>
        <v>8000</v>
      </c>
      <c r="D30" s="30">
        <f>SUMIFS('Snapshot Log'!$D:$D,'Snapshot Log'!$A:$A,3-1,'Snapshot Log'!$B:$B,3,'Snapshot Log'!$C:$C,$B30,'Snapshot Log'!$E:$E,"Forecast")</f>
        <v>8000</v>
      </c>
      <c r="E30" s="30">
        <f t="shared" si="4"/>
        <v>0</v>
      </c>
      <c r="F30" s="35">
        <f t="shared" si="5"/>
        <v>0</v>
      </c>
    </row>
    <row r="31" spans="2:6" x14ac:dyDescent="0.35">
      <c r="B31" s="17" t="s">
        <v>80</v>
      </c>
      <c r="C31" s="30">
        <f>SUMIFS('Snapshot Log'!$D:$D,'Snapshot Log'!$B:$B,3,'Snapshot Log'!$C:$C,$B31,'Snapshot Log'!$E:$E,"Actual")</f>
        <v>598000</v>
      </c>
      <c r="D31" s="30">
        <f>SUMIFS('Snapshot Log'!$D:$D,'Snapshot Log'!$A:$A,3-1,'Snapshot Log'!$B:$B,3,'Snapshot Log'!$C:$C,$B31,'Snapshot Log'!$E:$E,"Forecast")</f>
        <v>612278</v>
      </c>
      <c r="E31" s="30">
        <f t="shared" si="4"/>
        <v>-14278</v>
      </c>
      <c r="F31" s="35">
        <f t="shared" si="5"/>
        <v>-2.3319472527185362E-2</v>
      </c>
    </row>
    <row r="32" spans="2:6" x14ac:dyDescent="0.35">
      <c r="B32" s="17" t="s">
        <v>63</v>
      </c>
      <c r="C32" s="30">
        <f>SUMIFS('Snapshot Log'!$D:$D,'Snapshot Log'!$B:$B,3,'Snapshot Log'!$C:$C,$B32,'Snapshot Log'!$E:$E,"Actual")</f>
        <v>0</v>
      </c>
      <c r="D32" s="30">
        <f>SUMIFS('Snapshot Log'!$D:$D,'Snapshot Log'!$A:$A,3-1,'Snapshot Log'!$B:$B,3,'Snapshot Log'!$C:$C,$B32,'Snapshot Log'!$E:$E,"Forecast")</f>
        <v>0</v>
      </c>
      <c r="E32" s="30">
        <f t="shared" si="4"/>
        <v>0</v>
      </c>
      <c r="F32" s="35" t="str">
        <f t="shared" si="5"/>
        <v>n/a</v>
      </c>
    </row>
    <row r="33" spans="2:6" x14ac:dyDescent="0.35">
      <c r="B33" s="17" t="s">
        <v>81</v>
      </c>
      <c r="C33" s="30">
        <f>SUMIFS('Snapshot Log'!$D:$D,'Snapshot Log'!$B:$B,3,'Snapshot Log'!$C:$C,$B33,'Snapshot Log'!$E:$E,"Actual")</f>
        <v>91000</v>
      </c>
      <c r="D33" s="30">
        <f>SUMIFS('Snapshot Log'!$D:$D,'Snapshot Log'!$A:$A,3-1,'Snapshot Log'!$B:$B,3,'Snapshot Log'!$C:$C,$B33,'Snapshot Log'!$E:$E,"Forecast")</f>
        <v>95000</v>
      </c>
      <c r="E33" s="30">
        <f t="shared" si="4"/>
        <v>-4000</v>
      </c>
      <c r="F33" s="35">
        <f t="shared" si="5"/>
        <v>-4.2105263157894736E-2</v>
      </c>
    </row>
    <row r="34" spans="2:6" x14ac:dyDescent="0.35">
      <c r="B34" s="17" t="s">
        <v>82</v>
      </c>
      <c r="C34" s="30">
        <f>SUMIFS('Snapshot Log'!$D:$D,'Snapshot Log'!$B:$B,3,'Snapshot Log'!$C:$C,$B34,'Snapshot Log'!$E:$E,"Actual")</f>
        <v>45000</v>
      </c>
      <c r="D34" s="30">
        <f>SUMIFS('Snapshot Log'!$D:$D,'Snapshot Log'!$A:$A,3-1,'Snapshot Log'!$B:$B,3,'Snapshot Log'!$C:$C,$B34,'Snapshot Log'!$E:$E,"Forecast")</f>
        <v>0</v>
      </c>
      <c r="E34" s="30">
        <f t="shared" si="4"/>
        <v>45000</v>
      </c>
      <c r="F34" s="35" t="str">
        <f t="shared" si="5"/>
        <v>n/a</v>
      </c>
    </row>
    <row r="35" spans="2:6" x14ac:dyDescent="0.35">
      <c r="B35" s="17" t="s">
        <v>83</v>
      </c>
      <c r="C35" s="30">
        <f>SUMIFS('Snapshot Log'!$D:$D,'Snapshot Log'!$B:$B,3,'Snapshot Log'!$C:$C,$B35,'Snapshot Log'!$E:$E,"Actual")</f>
        <v>21000</v>
      </c>
      <c r="D35" s="30">
        <f>SUMIFS('Snapshot Log'!$D:$D,'Snapshot Log'!$A:$A,3-1,'Snapshot Log'!$B:$B,3,'Snapshot Log'!$C:$C,$B35,'Snapshot Log'!$E:$E,"Forecast")</f>
        <v>21000</v>
      </c>
      <c r="E35" s="30">
        <f t="shared" si="4"/>
        <v>0</v>
      </c>
      <c r="F35" s="35">
        <f t="shared" si="5"/>
        <v>0</v>
      </c>
    </row>
    <row r="36" spans="2:6" x14ac:dyDescent="0.35">
      <c r="B36" s="17" t="s">
        <v>84</v>
      </c>
      <c r="C36" s="30">
        <f>SUMIFS('Snapshot Log'!$D:$D,'Snapshot Log'!$B:$B,3,'Snapshot Log'!$C:$C,$B36,'Snapshot Log'!$E:$E,"Actual")</f>
        <v>0</v>
      </c>
      <c r="D36" s="30">
        <f>SUMIFS('Snapshot Log'!$D:$D,'Snapshot Log'!$A:$A,3-1,'Snapshot Log'!$B:$B,3,'Snapshot Log'!$C:$C,$B36,'Snapshot Log'!$E:$E,"Forecast")</f>
        <v>0</v>
      </c>
      <c r="E36" s="30">
        <f t="shared" si="4"/>
        <v>0</v>
      </c>
      <c r="F36" s="35" t="str">
        <f t="shared" si="5"/>
        <v>n/a</v>
      </c>
    </row>
    <row r="37" spans="2:6" x14ac:dyDescent="0.35">
      <c r="B37" s="19" t="s">
        <v>45</v>
      </c>
      <c r="C37" s="32">
        <f>SUM(C29:C36)</f>
        <v>1905000</v>
      </c>
      <c r="D37" s="32">
        <f>SUM(D29:D36)</f>
        <v>1706587</v>
      </c>
      <c r="E37" s="32">
        <f>SUM(E29:E36)</f>
        <v>198413</v>
      </c>
      <c r="F37" s="20">
        <f t="shared" si="5"/>
        <v>0.1162630443100762</v>
      </c>
    </row>
    <row r="39" spans="2:6" x14ac:dyDescent="0.35">
      <c r="B39" s="5" t="s">
        <v>113</v>
      </c>
      <c r="C39" s="11"/>
      <c r="D39" s="11"/>
      <c r="E39" s="11"/>
      <c r="F39" s="11"/>
    </row>
    <row r="40" spans="2:6" x14ac:dyDescent="0.35">
      <c r="B40" s="16" t="s">
        <v>105</v>
      </c>
      <c r="C40" s="16" t="s">
        <v>106</v>
      </c>
      <c r="D40" s="16" t="s">
        <v>111</v>
      </c>
      <c r="E40" s="16" t="s">
        <v>108</v>
      </c>
      <c r="F40" s="16" t="s">
        <v>109</v>
      </c>
    </row>
    <row r="41" spans="2:6" x14ac:dyDescent="0.35">
      <c r="B41" s="17" t="s">
        <v>77</v>
      </c>
      <c r="C41" s="30">
        <f>SUMIFS('Snapshot Log'!$D:$D,'Snapshot Log'!$B:$B,4,'Snapshot Log'!$C:$C,$B41,'Snapshot Log'!$E:$E,"Actual")</f>
        <v>968000</v>
      </c>
      <c r="D41" s="30">
        <f>SUMIFS('Snapshot Log'!$D:$D,'Snapshot Log'!$A:$A,4-1,'Snapshot Log'!$B:$B,4,'Snapshot Log'!$C:$C,$B41,'Snapshot Log'!$E:$E,"Forecast")</f>
        <v>995914</v>
      </c>
      <c r="E41" s="30">
        <f t="shared" ref="E41:E48" si="6">C41-D41</f>
        <v>-27914</v>
      </c>
      <c r="F41" s="35">
        <f t="shared" ref="F41:F49" si="7">IFERROR(E41/D41,"n/a")</f>
        <v>-2.8028524551316679E-2</v>
      </c>
    </row>
    <row r="42" spans="2:6" x14ac:dyDescent="0.35">
      <c r="B42" s="17" t="s">
        <v>78</v>
      </c>
      <c r="C42" s="30">
        <f>SUMIFS('Snapshot Log'!$D:$D,'Snapshot Log'!$B:$B,4,'Snapshot Log'!$C:$C,$B42,'Snapshot Log'!$E:$E,"Actual")</f>
        <v>8000</v>
      </c>
      <c r="D42" s="30">
        <f>SUMIFS('Snapshot Log'!$D:$D,'Snapshot Log'!$A:$A,4-1,'Snapshot Log'!$B:$B,4,'Snapshot Log'!$C:$C,$B42,'Snapshot Log'!$E:$E,"Forecast")</f>
        <v>8000</v>
      </c>
      <c r="E42" s="30">
        <f t="shared" si="6"/>
        <v>0</v>
      </c>
      <c r="F42" s="35">
        <f t="shared" si="7"/>
        <v>0</v>
      </c>
    </row>
    <row r="43" spans="2:6" x14ac:dyDescent="0.35">
      <c r="B43" s="17" t="s">
        <v>80</v>
      </c>
      <c r="C43" s="30">
        <f>SUMIFS('Snapshot Log'!$D:$D,'Snapshot Log'!$B:$B,4,'Snapshot Log'!$C:$C,$B43,'Snapshot Log'!$E:$E,"Actual")</f>
        <v>642000</v>
      </c>
      <c r="D43" s="30">
        <f>SUMIFS('Snapshot Log'!$D:$D,'Snapshot Log'!$A:$A,4-1,'Snapshot Log'!$B:$B,4,'Snapshot Log'!$C:$C,$B43,'Snapshot Log'!$E:$E,"Forecast")</f>
        <v>621858</v>
      </c>
      <c r="E43" s="30">
        <f t="shared" si="6"/>
        <v>20142</v>
      </c>
      <c r="F43" s="35">
        <f t="shared" si="7"/>
        <v>3.2390031164671033E-2</v>
      </c>
    </row>
    <row r="44" spans="2:6" x14ac:dyDescent="0.35">
      <c r="B44" s="17" t="s">
        <v>63</v>
      </c>
      <c r="C44" s="30">
        <f>SUMIFS('Snapshot Log'!$D:$D,'Snapshot Log'!$B:$B,4,'Snapshot Log'!$C:$C,$B44,'Snapshot Log'!$E:$E,"Actual")</f>
        <v>322000</v>
      </c>
      <c r="D44" s="30">
        <f>SUMIFS('Snapshot Log'!$D:$D,'Snapshot Log'!$A:$A,4-1,'Snapshot Log'!$B:$B,4,'Snapshot Log'!$C:$C,$B44,'Snapshot Log'!$E:$E,"Forecast")</f>
        <v>312000</v>
      </c>
      <c r="E44" s="30">
        <f t="shared" si="6"/>
        <v>10000</v>
      </c>
      <c r="F44" s="35">
        <f t="shared" si="7"/>
        <v>3.2051282051282048E-2</v>
      </c>
    </row>
    <row r="45" spans="2:6" x14ac:dyDescent="0.35">
      <c r="B45" s="17" t="s">
        <v>81</v>
      </c>
      <c r="C45" s="30">
        <f>SUMIFS('Snapshot Log'!$D:$D,'Snapshot Log'!$B:$B,4,'Snapshot Log'!$C:$C,$B45,'Snapshot Log'!$E:$E,"Actual")</f>
        <v>96000</v>
      </c>
      <c r="D45" s="30">
        <f>SUMIFS('Snapshot Log'!$D:$D,'Snapshot Log'!$A:$A,4-1,'Snapshot Log'!$B:$B,4,'Snapshot Log'!$C:$C,$B45,'Snapshot Log'!$E:$E,"Forecast")</f>
        <v>95000</v>
      </c>
      <c r="E45" s="30">
        <f t="shared" si="6"/>
        <v>1000</v>
      </c>
      <c r="F45" s="35">
        <f t="shared" si="7"/>
        <v>1.0526315789473684E-2</v>
      </c>
    </row>
    <row r="46" spans="2:6" x14ac:dyDescent="0.35">
      <c r="B46" s="17" t="s">
        <v>82</v>
      </c>
      <c r="C46" s="30">
        <f>SUMIFS('Snapshot Log'!$D:$D,'Snapshot Log'!$B:$B,4,'Snapshot Log'!$C:$C,$B46,'Snapshot Log'!$E:$E,"Actual")</f>
        <v>0</v>
      </c>
      <c r="D46" s="30">
        <f>SUMIFS('Snapshot Log'!$D:$D,'Snapshot Log'!$A:$A,4-1,'Snapshot Log'!$B:$B,4,'Snapshot Log'!$C:$C,$B46,'Snapshot Log'!$E:$E,"Forecast")</f>
        <v>0</v>
      </c>
      <c r="E46" s="30">
        <f t="shared" si="6"/>
        <v>0</v>
      </c>
      <c r="F46" s="35" t="str">
        <f t="shared" si="7"/>
        <v>n/a</v>
      </c>
    </row>
    <row r="47" spans="2:6" x14ac:dyDescent="0.35">
      <c r="B47" s="17" t="s">
        <v>83</v>
      </c>
      <c r="C47" s="30">
        <f>SUMIFS('Snapshot Log'!$D:$D,'Snapshot Log'!$B:$B,4,'Snapshot Log'!$C:$C,$B47,'Snapshot Log'!$E:$E,"Actual")</f>
        <v>21000</v>
      </c>
      <c r="D47" s="30">
        <f>SUMIFS('Snapshot Log'!$D:$D,'Snapshot Log'!$A:$A,4-1,'Snapshot Log'!$B:$B,4,'Snapshot Log'!$C:$C,$B47,'Snapshot Log'!$E:$E,"Forecast")</f>
        <v>21000</v>
      </c>
      <c r="E47" s="30">
        <f t="shared" si="6"/>
        <v>0</v>
      </c>
      <c r="F47" s="35">
        <f t="shared" si="7"/>
        <v>0</v>
      </c>
    </row>
    <row r="48" spans="2:6" x14ac:dyDescent="0.35">
      <c r="B48" s="17" t="s">
        <v>84</v>
      </c>
      <c r="C48" s="30">
        <f>SUMIFS('Snapshot Log'!$D:$D,'Snapshot Log'!$B:$B,4,'Snapshot Log'!$C:$C,$B48,'Snapshot Log'!$E:$E,"Actual")</f>
        <v>0</v>
      </c>
      <c r="D48" s="30">
        <f>SUMIFS('Snapshot Log'!$D:$D,'Snapshot Log'!$A:$A,4-1,'Snapshot Log'!$B:$B,4,'Snapshot Log'!$C:$C,$B48,'Snapshot Log'!$E:$E,"Forecast")</f>
        <v>0</v>
      </c>
      <c r="E48" s="30">
        <f t="shared" si="6"/>
        <v>0</v>
      </c>
      <c r="F48" s="35" t="str">
        <f t="shared" si="7"/>
        <v>n/a</v>
      </c>
    </row>
    <row r="49" spans="2:6" x14ac:dyDescent="0.35">
      <c r="B49" s="19" t="s">
        <v>45</v>
      </c>
      <c r="C49" s="32">
        <f>SUM(C41:C48)</f>
        <v>2057000</v>
      </c>
      <c r="D49" s="32">
        <f>SUM(D41:D48)</f>
        <v>2053772</v>
      </c>
      <c r="E49" s="32">
        <f>SUM(E41:E48)</f>
        <v>3228</v>
      </c>
      <c r="F49" s="20">
        <f t="shared" si="7"/>
        <v>1.571742140802387E-3</v>
      </c>
    </row>
    <row r="51" spans="2:6" x14ac:dyDescent="0.35">
      <c r="B51" s="5" t="s">
        <v>168</v>
      </c>
      <c r="C51" s="11"/>
      <c r="D51" s="11"/>
      <c r="E51" s="11"/>
      <c r="F51" s="11"/>
    </row>
    <row r="52" spans="2:6" x14ac:dyDescent="0.35">
      <c r="B52" s="16" t="s">
        <v>114</v>
      </c>
      <c r="C52" s="16" t="s">
        <v>115</v>
      </c>
      <c r="D52" s="16" t="s">
        <v>167</v>
      </c>
      <c r="E52" s="16"/>
      <c r="F52" s="16"/>
    </row>
    <row r="53" spans="2:6" x14ac:dyDescent="0.35">
      <c r="B53" s="17">
        <v>1</v>
      </c>
      <c r="C53" s="17">
        <f>COUNTIFS($C$60:$C$69,B53)</f>
        <v>4</v>
      </c>
      <c r="D53" s="35">
        <f>IFERROR(AVERAGEIFS($F$60:$F$69,$C$60:$C$69,B53),"n/a")</f>
        <v>6.1405835395203612E-2</v>
      </c>
    </row>
    <row r="54" spans="2:6" x14ac:dyDescent="0.35">
      <c r="B54" s="17">
        <v>2</v>
      </c>
      <c r="C54" s="17">
        <f>COUNTIFS($C$60:$C$69,B54)</f>
        <v>3</v>
      </c>
      <c r="D54" s="35">
        <f>IFERROR(AVERAGEIFS($F$60:$F$69,$C$60:$C$69,B54),"n/a")</f>
        <v>7.3089031302718169E-2</v>
      </c>
    </row>
    <row r="55" spans="2:6" x14ac:dyDescent="0.35">
      <c r="B55" s="17">
        <v>3</v>
      </c>
      <c r="C55" s="17">
        <f>COUNTIFS($C$60:$C$69,B55)</f>
        <v>2</v>
      </c>
      <c r="D55" s="35">
        <f>IFERROR(AVERAGEIFS($F$60:$F$69,$C$60:$C$69,B55),"n/a")</f>
        <v>9.6171958546974676E-2</v>
      </c>
    </row>
    <row r="56" spans="2:6" x14ac:dyDescent="0.35">
      <c r="B56" s="17">
        <v>4</v>
      </c>
      <c r="C56" s="17">
        <f>COUNTIFS($C$60:$C$69,B56)</f>
        <v>1</v>
      </c>
      <c r="D56" s="35">
        <f>IFERROR(AVERAGEIFS($F$60:$F$69,$C$60:$C$69,B56),"n/a")</f>
        <v>2.1066135207216025E-2</v>
      </c>
    </row>
    <row r="58" spans="2:6" x14ac:dyDescent="0.35">
      <c r="B58" s="13" t="s">
        <v>169</v>
      </c>
    </row>
    <row r="59" spans="2:6" x14ac:dyDescent="0.35">
      <c r="B59" s="16" t="s">
        <v>116</v>
      </c>
      <c r="C59" s="16" t="s">
        <v>117</v>
      </c>
      <c r="D59" s="16" t="s">
        <v>118</v>
      </c>
      <c r="E59" s="16" t="s">
        <v>119</v>
      </c>
      <c r="F59" s="16" t="s">
        <v>109</v>
      </c>
    </row>
    <row r="60" spans="2:6" x14ac:dyDescent="0.35">
      <c r="B60" s="17">
        <v>1</v>
      </c>
      <c r="C60" s="17">
        <v>1</v>
      </c>
      <c r="D60" s="30">
        <f>(SUMIFS('Snapshot Log'!$D:$D,'Snapshot Log'!$A:$A,1,'Snapshot Log'!$B:$B,1,'Snapshot Log'!$C:$C,"AR Collections",'Snapshot Log'!$E:$E,"Actual")+SUMIFS('Snapshot Log'!$D:$D,'Snapshot Log'!$A:$A,1,'Snapshot Log'!$B:$B,1,'Snapshot Log'!$C:$C,"Other Receipts",'Snapshot Log'!$E:$E,"Actual"))</f>
        <v>913000</v>
      </c>
      <c r="E60" s="30">
        <f>(SUMIFS('Snapshot Log'!$D:$D,'Snapshot Log'!$A:$A,0,'Snapshot Log'!$B:$B,1,'Snapshot Log'!$C:$C,"AR Collections",'Snapshot Log'!$E:$E,"Forecast")+SUMIFS('Snapshot Log'!$D:$D,'Snapshot Log'!$A:$A,0,'Snapshot Log'!$B:$B,1,'Snapshot Log'!$C:$C,"Other Receipts",'Snapshot Log'!$E:$E,"Forecast"))</f>
        <v>939500</v>
      </c>
      <c r="F60" s="35">
        <f t="shared" ref="F60:F69" si="8">IFERROR(ABS((D60-E60)/E60),"n/a")</f>
        <v>2.8206492815327302E-2</v>
      </c>
    </row>
    <row r="61" spans="2:6" x14ac:dyDescent="0.35">
      <c r="B61" s="17">
        <v>2</v>
      </c>
      <c r="C61" s="17">
        <v>1</v>
      </c>
      <c r="D61" s="30">
        <f>(SUMIFS('Snapshot Log'!$D:$D,'Snapshot Log'!$A:$A,2,'Snapshot Log'!$B:$B,2,'Snapshot Log'!$C:$C,"AR Collections",'Snapshot Log'!$E:$E,"Actual")+SUMIFS('Snapshot Log'!$D:$D,'Snapshot Log'!$A:$A,2,'Snapshot Log'!$B:$B,2,'Snapshot Log'!$C:$C,"Other Receipts",'Snapshot Log'!$E:$E,"Actual"))</f>
        <v>943000</v>
      </c>
      <c r="E61" s="30">
        <f>(SUMIFS('Snapshot Log'!$D:$D,'Snapshot Log'!$A:$A,1,'Snapshot Log'!$B:$B,2,'Snapshot Log'!$C:$C,"AR Collections",'Snapshot Log'!$E:$E,"Forecast")+SUMIFS('Snapshot Log'!$D:$D,'Snapshot Log'!$A:$A,1,'Snapshot Log'!$B:$B,2,'Snapshot Log'!$C:$C,"Other Receipts",'Snapshot Log'!$E:$E,"Forecast"))</f>
        <v>956500</v>
      </c>
      <c r="F61" s="35">
        <f t="shared" si="8"/>
        <v>1.4113957135389441E-2</v>
      </c>
    </row>
    <row r="62" spans="2:6" x14ac:dyDescent="0.35">
      <c r="B62" s="17">
        <v>2</v>
      </c>
      <c r="C62" s="17">
        <v>2</v>
      </c>
      <c r="D62" s="30">
        <f>(SUMIFS('Snapshot Log'!$D:$D,'Snapshot Log'!$A:$A,2,'Snapshot Log'!$B:$B,2,'Snapshot Log'!$C:$C,"AR Collections",'Snapshot Log'!$E:$E,"Actual")+SUMIFS('Snapshot Log'!$D:$D,'Snapshot Log'!$A:$A,2,'Snapshot Log'!$B:$B,2,'Snapshot Log'!$C:$C,"Other Receipts",'Snapshot Log'!$E:$E,"Actual"))</f>
        <v>943000</v>
      </c>
      <c r="E62" s="30">
        <f>(SUMIFS('Snapshot Log'!$D:$D,'Snapshot Log'!$A:$A,0,'Snapshot Log'!$B:$B,2,'Snapshot Log'!$C:$C,"AR Collections",'Snapshot Log'!$E:$E,"Forecast")+SUMIFS('Snapshot Log'!$D:$D,'Snapshot Log'!$A:$A,0,'Snapshot Log'!$B:$B,2,'Snapshot Log'!$C:$C,"Other Receipts",'Snapshot Log'!$E:$E,"Forecast"))</f>
        <v>962050</v>
      </c>
      <c r="F62" s="35">
        <f t="shared" si="8"/>
        <v>1.9801465620290004E-2</v>
      </c>
    </row>
    <row r="63" spans="2:6" x14ac:dyDescent="0.35">
      <c r="B63" s="17">
        <v>3</v>
      </c>
      <c r="C63" s="17">
        <v>1</v>
      </c>
      <c r="D63" s="30">
        <f>(SUMIFS('Snapshot Log'!$D:$D,'Snapshot Log'!$A:$A,3,'Snapshot Log'!$B:$B,3,'Snapshot Log'!$C:$C,"AR Collections",'Snapshot Log'!$E:$E,"Actual")+SUMIFS('Snapshot Log'!$D:$D,'Snapshot Log'!$A:$A,3,'Snapshot Log'!$B:$B,3,'Snapshot Log'!$C:$C,"Other Receipts",'Snapshot Log'!$E:$E,"Actual"))</f>
        <v>1150000</v>
      </c>
      <c r="E63" s="30">
        <f>(SUMIFS('Snapshot Log'!$D:$D,'Snapshot Log'!$A:$A,2,'Snapshot Log'!$B:$B,3,'Snapshot Log'!$C:$C,"AR Collections",'Snapshot Log'!$E:$E,"Forecast")+SUMIFS('Snapshot Log'!$D:$D,'Snapshot Log'!$A:$A,2,'Snapshot Log'!$B:$B,3,'Snapshot Log'!$C:$C,"Other Receipts",'Snapshot Log'!$E:$E,"Forecast"))</f>
        <v>978309</v>
      </c>
      <c r="F63" s="35">
        <f t="shared" si="8"/>
        <v>0.17549772106767902</v>
      </c>
    </row>
    <row r="64" spans="2:6" x14ac:dyDescent="0.35">
      <c r="B64" s="17">
        <v>3</v>
      </c>
      <c r="C64" s="17">
        <v>2</v>
      </c>
      <c r="D64" s="30">
        <f>(SUMIFS('Snapshot Log'!$D:$D,'Snapshot Log'!$A:$A,3,'Snapshot Log'!$B:$B,3,'Snapshot Log'!$C:$C,"AR Collections",'Snapshot Log'!$E:$E,"Actual")+SUMIFS('Snapshot Log'!$D:$D,'Snapshot Log'!$A:$A,3,'Snapshot Log'!$B:$B,3,'Snapshot Log'!$C:$C,"Other Receipts",'Snapshot Log'!$E:$E,"Actual"))</f>
        <v>1150000</v>
      </c>
      <c r="E64" s="30">
        <f>(SUMIFS('Snapshot Log'!$D:$D,'Snapshot Log'!$A:$A,1,'Snapshot Log'!$B:$B,3,'Snapshot Log'!$C:$C,"AR Collections",'Snapshot Log'!$E:$E,"Forecast")+SUMIFS('Snapshot Log'!$D:$D,'Snapshot Log'!$A:$A,1,'Snapshot Log'!$B:$B,3,'Snapshot Log'!$C:$C,"Other Receipts",'Snapshot Log'!$E:$E,"Forecast"))</f>
        <v>975534</v>
      </c>
      <c r="F64" s="35">
        <f t="shared" si="8"/>
        <v>0.17884153704535158</v>
      </c>
    </row>
    <row r="65" spans="2:6" x14ac:dyDescent="0.35">
      <c r="B65" s="17">
        <v>3</v>
      </c>
      <c r="C65" s="17">
        <v>3</v>
      </c>
      <c r="D65" s="30">
        <f>(SUMIFS('Snapshot Log'!$D:$D,'Snapshot Log'!$A:$A,3,'Snapshot Log'!$B:$B,3,'Snapshot Log'!$C:$C,"AR Collections",'Snapshot Log'!$E:$E,"Actual")+SUMIFS('Snapshot Log'!$D:$D,'Snapshot Log'!$A:$A,3,'Snapshot Log'!$B:$B,3,'Snapshot Log'!$C:$C,"Other Receipts",'Snapshot Log'!$E:$E,"Actual"))</f>
        <v>1150000</v>
      </c>
      <c r="E65" s="30">
        <f>(SUMIFS('Snapshot Log'!$D:$D,'Snapshot Log'!$A:$A,0,'Snapshot Log'!$B:$B,3,'Snapshot Log'!$C:$C,"AR Collections",'Snapshot Log'!$E:$E,"Forecast")+SUMIFS('Snapshot Log'!$D:$D,'Snapshot Log'!$A:$A,0,'Snapshot Log'!$B:$B,3,'Snapshot Log'!$C:$C,"Other Receipts",'Snapshot Log'!$E:$E,"Forecast"))</f>
        <v>979734</v>
      </c>
      <c r="F65" s="35">
        <f t="shared" si="8"/>
        <v>0.17378798735166892</v>
      </c>
    </row>
    <row r="66" spans="2:6" x14ac:dyDescent="0.35">
      <c r="B66" s="17">
        <v>4</v>
      </c>
      <c r="C66" s="17">
        <v>1</v>
      </c>
      <c r="D66" s="30">
        <f>(SUMIFS('Snapshot Log'!$D:$D,'Snapshot Log'!$A:$A,4,'Snapshot Log'!$B:$B,4,'Snapshot Log'!$C:$C,"AR Collections",'Snapshot Log'!$E:$E,"Actual")+SUMIFS('Snapshot Log'!$D:$D,'Snapshot Log'!$A:$A,4,'Snapshot Log'!$B:$B,4,'Snapshot Log'!$C:$C,"Other Receipts",'Snapshot Log'!$E:$E,"Actual"))</f>
        <v>976000</v>
      </c>
      <c r="E66" s="30">
        <f>(SUMIFS('Snapshot Log'!$D:$D,'Snapshot Log'!$A:$A,3,'Snapshot Log'!$B:$B,4,'Snapshot Log'!$C:$C,"AR Collections",'Snapshot Log'!$E:$E,"Forecast")+SUMIFS('Snapshot Log'!$D:$D,'Snapshot Log'!$A:$A,3,'Snapshot Log'!$B:$B,4,'Snapshot Log'!$C:$C,"Other Receipts",'Snapshot Log'!$E:$E,"Forecast"))</f>
        <v>1003914</v>
      </c>
      <c r="F66" s="35">
        <f t="shared" si="8"/>
        <v>2.7805170562418692E-2</v>
      </c>
    </row>
    <row r="67" spans="2:6" x14ac:dyDescent="0.35">
      <c r="B67" s="17">
        <v>4</v>
      </c>
      <c r="C67" s="17">
        <v>2</v>
      </c>
      <c r="D67" s="30">
        <f>(SUMIFS('Snapshot Log'!$D:$D,'Snapshot Log'!$A:$A,4,'Snapshot Log'!$B:$B,4,'Snapshot Log'!$C:$C,"AR Collections",'Snapshot Log'!$E:$E,"Actual")+SUMIFS('Snapshot Log'!$D:$D,'Snapshot Log'!$A:$A,4,'Snapshot Log'!$B:$B,4,'Snapshot Log'!$C:$C,"Other Receipts",'Snapshot Log'!$E:$E,"Actual"))</f>
        <v>976000</v>
      </c>
      <c r="E67" s="30">
        <f>(SUMIFS('Snapshot Log'!$D:$D,'Snapshot Log'!$A:$A,2,'Snapshot Log'!$B:$B,4,'Snapshot Log'!$C:$C,"AR Collections",'Snapshot Log'!$E:$E,"Forecast")+SUMIFS('Snapshot Log'!$D:$D,'Snapshot Log'!$A:$A,2,'Snapshot Log'!$B:$B,4,'Snapshot Log'!$C:$C,"Other Receipts",'Snapshot Log'!$E:$E,"Forecast"))</f>
        <v>996553</v>
      </c>
      <c r="F67" s="35">
        <f t="shared" si="8"/>
        <v>2.0624091242512941E-2</v>
      </c>
    </row>
    <row r="68" spans="2:6" x14ac:dyDescent="0.35">
      <c r="B68" s="17">
        <v>4</v>
      </c>
      <c r="C68" s="17">
        <v>3</v>
      </c>
      <c r="D68" s="30">
        <f>(SUMIFS('Snapshot Log'!$D:$D,'Snapshot Log'!$A:$A,4,'Snapshot Log'!$B:$B,4,'Snapshot Log'!$C:$C,"AR Collections",'Snapshot Log'!$E:$E,"Actual")+SUMIFS('Snapshot Log'!$D:$D,'Snapshot Log'!$A:$A,4,'Snapshot Log'!$B:$B,4,'Snapshot Log'!$C:$C,"Other Receipts",'Snapshot Log'!$E:$E,"Actual"))</f>
        <v>976000</v>
      </c>
      <c r="E68" s="30">
        <f>(SUMIFS('Snapshot Log'!$D:$D,'Snapshot Log'!$A:$A,1,'Snapshot Log'!$B:$B,4,'Snapshot Log'!$C:$C,"AR Collections",'Snapshot Log'!$E:$E,"Forecast")+SUMIFS('Snapshot Log'!$D:$D,'Snapshot Log'!$A:$A,1,'Snapshot Log'!$B:$B,4,'Snapshot Log'!$C:$C,"Other Receipts",'Snapshot Log'!$E:$E,"Forecast"))</f>
        <v>994453</v>
      </c>
      <c r="F68" s="35">
        <f t="shared" si="8"/>
        <v>1.855592974228043E-2</v>
      </c>
    </row>
    <row r="69" spans="2:6" x14ac:dyDescent="0.35">
      <c r="B69" s="17">
        <v>4</v>
      </c>
      <c r="C69" s="17">
        <v>4</v>
      </c>
      <c r="D69" s="30">
        <f>(SUMIFS('Snapshot Log'!$D:$D,'Snapshot Log'!$A:$A,4,'Snapshot Log'!$B:$B,4,'Snapshot Log'!$C:$C,"AR Collections",'Snapshot Log'!$E:$E,"Actual")+SUMIFS('Snapshot Log'!$D:$D,'Snapshot Log'!$A:$A,4,'Snapshot Log'!$B:$B,4,'Snapshot Log'!$C:$C,"Other Receipts",'Snapshot Log'!$E:$E,"Actual"))</f>
        <v>976000</v>
      </c>
      <c r="E69" s="30">
        <f>(SUMIFS('Snapshot Log'!$D:$D,'Snapshot Log'!$A:$A,0,'Snapshot Log'!$B:$B,4,'Snapshot Log'!$C:$C,"AR Collections",'Snapshot Log'!$E:$E,"Forecast")+SUMIFS('Snapshot Log'!$D:$D,'Snapshot Log'!$A:$A,0,'Snapshot Log'!$B:$B,4,'Snapshot Log'!$C:$C,"Other Receipts",'Snapshot Log'!$E:$E,"Forecast"))</f>
        <v>997003</v>
      </c>
      <c r="F69" s="35">
        <f t="shared" si="8"/>
        <v>2.1066135207216025E-2</v>
      </c>
    </row>
  </sheetData>
  <pageMargins left="0.75" right="0.75" top="1" bottom="1" header="0.511811023622047" footer="0.511811023622047"/>
  <pageSetup paperSize="9"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F8F00"/>
    <pageSetUpPr fitToPage="1"/>
  </sheetPr>
  <dimension ref="B1:O40"/>
  <sheetViews>
    <sheetView showGridLines="0" zoomScaleNormal="100" workbookViewId="0">
      <pane xSplit="2" ySplit="2" topLeftCell="C3" activePane="bottomRight" state="frozen"/>
      <selection pane="topRight" activeCell="C1" sqref="C1"/>
      <selection pane="bottomLeft" activeCell="A4" sqref="A4"/>
      <selection pane="bottomRight"/>
    </sheetView>
  </sheetViews>
  <sheetFormatPr defaultColWidth="8.6328125" defaultRowHeight="14.5" x14ac:dyDescent="0.35"/>
  <cols>
    <col min="1" max="1" width="2" customWidth="1"/>
    <col min="2" max="2" width="26" customWidth="1"/>
    <col min="3" max="3" width="22.81640625" customWidth="1"/>
    <col min="4" max="4" width="25" customWidth="1"/>
    <col min="5" max="5" width="18.54296875" customWidth="1"/>
    <col min="6" max="6" width="22.453125" customWidth="1"/>
    <col min="7" max="15" width="12" customWidth="1"/>
  </cols>
  <sheetData>
    <row r="1" spans="2:15" ht="18" customHeight="1" x14ac:dyDescent="0.4">
      <c r="B1" s="15" t="s">
        <v>166</v>
      </c>
    </row>
    <row r="3" spans="2:15" x14ac:dyDescent="0.35">
      <c r="B3" s="5" t="s">
        <v>90</v>
      </c>
      <c r="C3" s="11"/>
      <c r="D3" s="11"/>
      <c r="E3" s="11"/>
      <c r="F3" s="11"/>
    </row>
    <row r="4" spans="2:15" x14ac:dyDescent="0.35">
      <c r="B4" s="16" t="s">
        <v>12</v>
      </c>
      <c r="C4" s="16" t="s">
        <v>91</v>
      </c>
      <c r="D4" s="16" t="s">
        <v>92</v>
      </c>
    </row>
    <row r="5" spans="2:15" x14ac:dyDescent="0.35">
      <c r="B5" s="19" t="s">
        <v>93</v>
      </c>
      <c r="C5" s="33">
        <v>0.05</v>
      </c>
      <c r="D5" s="33">
        <v>-0.03</v>
      </c>
    </row>
    <row r="6" spans="2:15" x14ac:dyDescent="0.35">
      <c r="B6" s="19" t="s">
        <v>94</v>
      </c>
      <c r="C6" s="33">
        <v>0</v>
      </c>
      <c r="D6" s="33">
        <v>0</v>
      </c>
    </row>
    <row r="7" spans="2:15" x14ac:dyDescent="0.35">
      <c r="B7" s="19" t="s">
        <v>95</v>
      </c>
      <c r="C7" s="33">
        <v>-0.08</v>
      </c>
      <c r="D7" s="33">
        <v>0.04</v>
      </c>
    </row>
    <row r="9" spans="2:15" x14ac:dyDescent="0.35">
      <c r="B9" s="5" t="s">
        <v>96</v>
      </c>
      <c r="C9" s="11"/>
      <c r="D9" s="11"/>
      <c r="E9" s="11"/>
      <c r="F9" s="11"/>
      <c r="G9" s="11"/>
      <c r="H9" s="11"/>
      <c r="I9" s="11"/>
      <c r="J9" s="11"/>
      <c r="K9" s="11"/>
      <c r="L9" s="11"/>
      <c r="M9" s="11"/>
      <c r="N9" s="11"/>
      <c r="O9" s="11"/>
    </row>
    <row r="10" spans="2:15" x14ac:dyDescent="0.35">
      <c r="B10" s="19" t="s">
        <v>59</v>
      </c>
      <c r="C10" s="19">
        <v>5</v>
      </c>
      <c r="D10" s="19">
        <v>6</v>
      </c>
      <c r="E10" s="19">
        <v>7</v>
      </c>
      <c r="F10" s="19">
        <v>8</v>
      </c>
      <c r="G10" s="19">
        <v>9</v>
      </c>
      <c r="H10" s="19">
        <v>10</v>
      </c>
      <c r="I10" s="19">
        <v>11</v>
      </c>
      <c r="J10" s="19">
        <v>12</v>
      </c>
      <c r="K10" s="19">
        <v>13</v>
      </c>
      <c r="L10" s="19">
        <v>14</v>
      </c>
      <c r="M10" s="19">
        <v>15</v>
      </c>
      <c r="N10" s="19">
        <v>16</v>
      </c>
      <c r="O10" s="19">
        <v>17</v>
      </c>
    </row>
    <row r="11" spans="2:15" x14ac:dyDescent="0.35">
      <c r="B11" s="17" t="s">
        <v>97</v>
      </c>
      <c r="C11" s="29">
        <f>'Live Model'!C8*(1+$C$5)</f>
        <v>1063161.8814634124</v>
      </c>
      <c r="D11" s="29">
        <f>'Live Model'!D8*(1+$C$5)</f>
        <v>1077056.103066768</v>
      </c>
      <c r="E11" s="29">
        <f>'Live Model'!E8*(1+$C$5)</f>
        <v>1090512.6821296618</v>
      </c>
      <c r="F11" s="29">
        <f>'Live Model'!F8*(1+$C$5)</f>
        <v>1101942.4758792527</v>
      </c>
      <c r="G11" s="29">
        <f>'Live Model'!G8*(1+$C$5)</f>
        <v>1109571.2103580167</v>
      </c>
      <c r="H11" s="29">
        <f>'Live Model'!H8*(1+$C$5)</f>
        <v>1117344.2926812016</v>
      </c>
      <c r="I11" s="29">
        <f>'Live Model'!I8*(1+$C$5)</f>
        <v>1108064.1916059782</v>
      </c>
      <c r="J11" s="29">
        <f>'Live Model'!J8*(1+$C$5)</f>
        <v>1076363.8186702344</v>
      </c>
      <c r="K11" s="29">
        <f>'Live Model'!K8*(1+$C$5)</f>
        <v>1032891.2675973705</v>
      </c>
      <c r="L11" s="29">
        <f>'Live Model'!L8*(1+$C$5)</f>
        <v>979827.56569438567</v>
      </c>
      <c r="M11" s="29">
        <f>'Live Model'!M8*(1+$C$5)</f>
        <v>905004.7871066503</v>
      </c>
      <c r="N11" s="29">
        <f>'Live Model'!N8*(1+$C$5)</f>
        <v>814460.33243739419</v>
      </c>
      <c r="O11" s="29">
        <f>'Live Model'!O8*(1+$C$5)</f>
        <v>817139.6445416807</v>
      </c>
    </row>
    <row r="12" spans="2:15" x14ac:dyDescent="0.35">
      <c r="B12" s="17" t="s">
        <v>85</v>
      </c>
      <c r="C12" s="29">
        <f>'Live Model'!C16*(1+$D$5)</f>
        <v>725379.20268577163</v>
      </c>
      <c r="D12" s="29">
        <f>'Live Model'!D16*(1+$D$5)</f>
        <v>1042714.4577763656</v>
      </c>
      <c r="E12" s="29">
        <f>'Live Model'!E16*(1+$D$5)</f>
        <v>976922.81811915012</v>
      </c>
      <c r="F12" s="29">
        <f>'Live Model'!F16*(1+$D$5)</f>
        <v>1059377.6876719778</v>
      </c>
      <c r="G12" s="29">
        <f>'Live Model'!G16*(1+$D$5)</f>
        <v>755346.3130467952</v>
      </c>
      <c r="H12" s="29">
        <f>'Live Model'!H16*(1+$D$5)</f>
        <v>1149693.2872280283</v>
      </c>
      <c r="I12" s="29">
        <f>'Live Model'!I16*(1+$D$5)</f>
        <v>932527.92666255648</v>
      </c>
      <c r="J12" s="29">
        <f>'Live Model'!J16*(1+$D$5)</f>
        <v>1356367.8051866202</v>
      </c>
      <c r="K12" s="29">
        <f>'Live Model'!K16*(1+$D$5)</f>
        <v>723806.57469044148</v>
      </c>
      <c r="L12" s="29">
        <f>'Live Model'!L16*(1+$D$5)</f>
        <v>1146851.2374025465</v>
      </c>
      <c r="M12" s="29">
        <f>'Live Model'!M16*(1+$D$5)</f>
        <v>654980.70665368775</v>
      </c>
      <c r="N12" s="29">
        <f>'Live Model'!N16*(1+$D$5)</f>
        <v>1010988.8964060806</v>
      </c>
      <c r="O12" s="29">
        <f>'Live Model'!O16*(1+$D$5)</f>
        <v>577162.60250721057</v>
      </c>
    </row>
    <row r="13" spans="2:15" x14ac:dyDescent="0.35">
      <c r="B13" s="19" t="s">
        <v>86</v>
      </c>
      <c r="C13" s="32">
        <f t="shared" ref="C13:O13" si="0">C11-C12</f>
        <v>337782.6787776408</v>
      </c>
      <c r="D13" s="32">
        <f t="shared" si="0"/>
        <v>34341.645290402463</v>
      </c>
      <c r="E13" s="32">
        <f t="shared" si="0"/>
        <v>113589.86401051166</v>
      </c>
      <c r="F13" s="32">
        <f t="shared" si="0"/>
        <v>42564.788207274862</v>
      </c>
      <c r="G13" s="32">
        <f t="shared" si="0"/>
        <v>354224.89731122146</v>
      </c>
      <c r="H13" s="32">
        <f t="shared" si="0"/>
        <v>-32348.994546826696</v>
      </c>
      <c r="I13" s="32">
        <f t="shared" si="0"/>
        <v>175536.2649434217</v>
      </c>
      <c r="J13" s="32">
        <f t="shared" si="0"/>
        <v>-280003.9865163858</v>
      </c>
      <c r="K13" s="32">
        <f t="shared" si="0"/>
        <v>309084.69290692906</v>
      </c>
      <c r="L13" s="32">
        <f t="shared" si="0"/>
        <v>-167023.67170816078</v>
      </c>
      <c r="M13" s="32">
        <f t="shared" si="0"/>
        <v>250024.08045296255</v>
      </c>
      <c r="N13" s="32">
        <f t="shared" si="0"/>
        <v>-196528.56396868639</v>
      </c>
      <c r="O13" s="32">
        <f t="shared" si="0"/>
        <v>239977.04203447013</v>
      </c>
    </row>
    <row r="14" spans="2:15" x14ac:dyDescent="0.35">
      <c r="B14" s="17" t="s">
        <v>76</v>
      </c>
      <c r="C14" s="31">
        <f>'Live Model'!C5</f>
        <v>3267000</v>
      </c>
      <c r="D14" s="30">
        <f t="shared" ref="D14:O14" si="1">C15</f>
        <v>3604782.6787776407</v>
      </c>
      <c r="E14" s="30">
        <f t="shared" si="1"/>
        <v>3639124.3240680434</v>
      </c>
      <c r="F14" s="30">
        <f t="shared" si="1"/>
        <v>3752714.1880785553</v>
      </c>
      <c r="G14" s="30">
        <f t="shared" si="1"/>
        <v>3795278.9762858301</v>
      </c>
      <c r="H14" s="30">
        <f t="shared" si="1"/>
        <v>4149503.8735970515</v>
      </c>
      <c r="I14" s="30">
        <f t="shared" si="1"/>
        <v>4117154.879050225</v>
      </c>
      <c r="J14" s="30">
        <f t="shared" si="1"/>
        <v>4292691.1439936468</v>
      </c>
      <c r="K14" s="30">
        <f t="shared" si="1"/>
        <v>4012687.157477261</v>
      </c>
      <c r="L14" s="30">
        <f t="shared" si="1"/>
        <v>4321771.8503841897</v>
      </c>
      <c r="M14" s="30">
        <f t="shared" si="1"/>
        <v>4154748.1786760287</v>
      </c>
      <c r="N14" s="30">
        <f t="shared" si="1"/>
        <v>4404772.2591289915</v>
      </c>
      <c r="O14" s="30">
        <f t="shared" si="1"/>
        <v>4208243.6951603051</v>
      </c>
    </row>
    <row r="15" spans="2:15" x14ac:dyDescent="0.35">
      <c r="B15" s="19" t="s">
        <v>87</v>
      </c>
      <c r="C15" s="32">
        <f t="shared" ref="C15:O15" si="2">C14+C13</f>
        <v>3604782.6787776407</v>
      </c>
      <c r="D15" s="32">
        <f t="shared" si="2"/>
        <v>3639124.3240680434</v>
      </c>
      <c r="E15" s="32">
        <f t="shared" si="2"/>
        <v>3752714.1880785553</v>
      </c>
      <c r="F15" s="32">
        <f t="shared" si="2"/>
        <v>3795278.9762858301</v>
      </c>
      <c r="G15" s="32">
        <f t="shared" si="2"/>
        <v>4149503.8735970515</v>
      </c>
      <c r="H15" s="32">
        <f t="shared" si="2"/>
        <v>4117154.879050225</v>
      </c>
      <c r="I15" s="32">
        <f t="shared" si="2"/>
        <v>4292691.1439936468</v>
      </c>
      <c r="J15" s="32">
        <f t="shared" si="2"/>
        <v>4012687.157477261</v>
      </c>
      <c r="K15" s="32">
        <f t="shared" si="2"/>
        <v>4321771.8503841897</v>
      </c>
      <c r="L15" s="32">
        <f t="shared" si="2"/>
        <v>4154748.1786760287</v>
      </c>
      <c r="M15" s="32">
        <f t="shared" si="2"/>
        <v>4404772.2591289915</v>
      </c>
      <c r="N15" s="32">
        <f t="shared" si="2"/>
        <v>4208243.6951603051</v>
      </c>
      <c r="O15" s="32">
        <f t="shared" si="2"/>
        <v>4448220.7371947756</v>
      </c>
    </row>
    <row r="16" spans="2:15" x14ac:dyDescent="0.35">
      <c r="B16" s="17" t="s">
        <v>89</v>
      </c>
      <c r="C16" s="30">
        <f>C15-'Live Model'!C21</f>
        <v>2404782.6787776407</v>
      </c>
      <c r="D16" s="30">
        <f>D15-'Live Model'!D21</f>
        <v>2439124.3240680434</v>
      </c>
      <c r="E16" s="30">
        <f>E15-'Live Model'!E21</f>
        <v>2552714.1880785553</v>
      </c>
      <c r="F16" s="30">
        <f>F15-'Live Model'!F21</f>
        <v>2595278.9762858301</v>
      </c>
      <c r="G16" s="30">
        <f>G15-'Live Model'!G21</f>
        <v>2949503.8735970515</v>
      </c>
      <c r="H16" s="30">
        <f>H15-'Live Model'!H21</f>
        <v>2917154.879050225</v>
      </c>
      <c r="I16" s="30">
        <f>I15-'Live Model'!I21</f>
        <v>3092691.1439936468</v>
      </c>
      <c r="J16" s="30">
        <f>J15-'Live Model'!J21</f>
        <v>2812687.157477261</v>
      </c>
      <c r="K16" s="30">
        <f>K15-'Live Model'!K21</f>
        <v>3121771.8503841897</v>
      </c>
      <c r="L16" s="30">
        <f>L15-'Live Model'!L21</f>
        <v>2954748.1786760287</v>
      </c>
      <c r="M16" s="30">
        <f>M15-'Live Model'!M21</f>
        <v>3204772.2591289915</v>
      </c>
      <c r="N16" s="30">
        <f>N15-'Live Model'!N21</f>
        <v>3008243.6951603051</v>
      </c>
      <c r="O16" s="30">
        <f>O15-'Live Model'!O21</f>
        <v>3248220.7371947756</v>
      </c>
    </row>
    <row r="18" spans="2:15" x14ac:dyDescent="0.35">
      <c r="B18" s="5" t="s">
        <v>98</v>
      </c>
      <c r="C18" s="11"/>
      <c r="D18" s="11"/>
      <c r="E18" s="11"/>
      <c r="F18" s="11"/>
      <c r="G18" s="11"/>
      <c r="H18" s="11"/>
      <c r="I18" s="11"/>
      <c r="J18" s="11"/>
      <c r="K18" s="11"/>
      <c r="L18" s="11"/>
      <c r="M18" s="11"/>
      <c r="N18" s="11"/>
      <c r="O18" s="11"/>
    </row>
    <row r="19" spans="2:15" x14ac:dyDescent="0.35">
      <c r="B19" s="19" t="s">
        <v>59</v>
      </c>
      <c r="C19" s="19">
        <v>5</v>
      </c>
      <c r="D19" s="19">
        <v>6</v>
      </c>
      <c r="E19" s="19">
        <v>7</v>
      </c>
      <c r="F19" s="19">
        <v>8</v>
      </c>
      <c r="G19" s="19">
        <v>9</v>
      </c>
      <c r="H19" s="19">
        <v>10</v>
      </c>
      <c r="I19" s="19">
        <v>11</v>
      </c>
      <c r="J19" s="19">
        <v>12</v>
      </c>
      <c r="K19" s="19">
        <v>13</v>
      </c>
      <c r="L19" s="19">
        <v>14</v>
      </c>
      <c r="M19" s="19">
        <v>15</v>
      </c>
      <c r="N19" s="19">
        <v>16</v>
      </c>
      <c r="O19" s="19">
        <v>17</v>
      </c>
    </row>
    <row r="20" spans="2:15" x14ac:dyDescent="0.35">
      <c r="B20" s="17" t="s">
        <v>97</v>
      </c>
      <c r="C20" s="29">
        <f>'Live Model'!C8*(1+$C$6)</f>
        <v>1012535.12520325</v>
      </c>
      <c r="D20" s="29">
        <f>'Live Model'!D8*(1+$C$6)</f>
        <v>1025767.7172064456</v>
      </c>
      <c r="E20" s="29">
        <f>'Live Model'!E8*(1+$C$6)</f>
        <v>1038583.506790154</v>
      </c>
      <c r="F20" s="29">
        <f>'Live Model'!F8*(1+$C$6)</f>
        <v>1049469.0246469073</v>
      </c>
      <c r="G20" s="29">
        <f>'Live Model'!G8*(1+$C$6)</f>
        <v>1056734.486055254</v>
      </c>
      <c r="H20" s="29">
        <f>'Live Model'!H8*(1+$C$6)</f>
        <v>1064137.4216011444</v>
      </c>
      <c r="I20" s="29">
        <f>'Live Model'!I8*(1+$C$6)</f>
        <v>1055299.2301009316</v>
      </c>
      <c r="J20" s="29">
        <f>'Live Model'!J8*(1+$C$6)</f>
        <v>1025108.3987335565</v>
      </c>
      <c r="K20" s="29">
        <f>'Live Model'!K8*(1+$C$6)</f>
        <v>983705.96914035291</v>
      </c>
      <c r="L20" s="29">
        <f>'Live Model'!L8*(1+$C$6)</f>
        <v>933169.11018512922</v>
      </c>
      <c r="M20" s="29">
        <f>'Live Model'!M8*(1+$C$6)</f>
        <v>861909.32105395268</v>
      </c>
      <c r="N20" s="29">
        <f>'Live Model'!N8*(1+$C$6)</f>
        <v>775676.50708323251</v>
      </c>
      <c r="O20" s="29">
        <f>'Live Model'!O8*(1+$C$6)</f>
        <v>778228.23289683869</v>
      </c>
    </row>
    <row r="21" spans="2:15" x14ac:dyDescent="0.35">
      <c r="B21" s="17" t="s">
        <v>85</v>
      </c>
      <c r="C21" s="29">
        <f>'Live Model'!C16*(1+$D$6)</f>
        <v>747813.61101625941</v>
      </c>
      <c r="D21" s="29">
        <f>'Live Model'!D16*(1+$D$6)</f>
        <v>1074963.3585323356</v>
      </c>
      <c r="E21" s="29">
        <f>'Live Model'!E16*(1+$D$6)</f>
        <v>1007136.9258960311</v>
      </c>
      <c r="F21" s="29">
        <f>'Live Model'!F16*(1+$D$6)</f>
        <v>1092141.9460535855</v>
      </c>
      <c r="G21" s="29">
        <f>'Live Model'!G16*(1+$D$6)</f>
        <v>778707.53922350018</v>
      </c>
      <c r="H21" s="29">
        <f>'Live Model'!H16*(1+$D$6)</f>
        <v>1185250.811575287</v>
      </c>
      <c r="I21" s="29">
        <f>'Live Model'!I16*(1+$D$6)</f>
        <v>961368.99655933655</v>
      </c>
      <c r="J21" s="29">
        <f>'Live Model'!J16*(1+$D$6)</f>
        <v>1398317.32493466</v>
      </c>
      <c r="K21" s="29">
        <f>'Live Model'!K16*(1+$D$6)</f>
        <v>746192.34504169226</v>
      </c>
      <c r="L21" s="29">
        <f>'Live Model'!L16*(1+$D$6)</f>
        <v>1182320.8633015943</v>
      </c>
      <c r="M21" s="29">
        <f>'Live Model'!M16*(1+$D$6)</f>
        <v>675237.84191101836</v>
      </c>
      <c r="N21" s="29">
        <f>'Live Model'!N16*(1+$D$6)</f>
        <v>1042256.5942330728</v>
      </c>
      <c r="O21" s="29">
        <f>'Live Model'!O16*(1+$D$6)</f>
        <v>595012.99227547483</v>
      </c>
    </row>
    <row r="22" spans="2:15" x14ac:dyDescent="0.35">
      <c r="B22" s="19" t="s">
        <v>86</v>
      </c>
      <c r="C22" s="32">
        <f t="shared" ref="C22:O22" si="3">C20-C21</f>
        <v>264721.51418699056</v>
      </c>
      <c r="D22" s="32">
        <f t="shared" si="3"/>
        <v>-49195.64132588997</v>
      </c>
      <c r="E22" s="32">
        <f t="shared" si="3"/>
        <v>31446.580894122948</v>
      </c>
      <c r="F22" s="32">
        <f t="shared" si="3"/>
        <v>-42672.921406678157</v>
      </c>
      <c r="G22" s="32">
        <f t="shared" si="3"/>
        <v>278026.94683175383</v>
      </c>
      <c r="H22" s="32">
        <f t="shared" si="3"/>
        <v>-121113.38997414266</v>
      </c>
      <c r="I22" s="32">
        <f t="shared" si="3"/>
        <v>93930.233541595051</v>
      </c>
      <c r="J22" s="32">
        <f t="shared" si="3"/>
        <v>-373208.92620110349</v>
      </c>
      <c r="K22" s="32">
        <f t="shared" si="3"/>
        <v>237513.62409866066</v>
      </c>
      <c r="L22" s="32">
        <f t="shared" si="3"/>
        <v>-249151.75311646506</v>
      </c>
      <c r="M22" s="32">
        <f t="shared" si="3"/>
        <v>186671.47914293432</v>
      </c>
      <c r="N22" s="32">
        <f t="shared" si="3"/>
        <v>-266580.08714984031</v>
      </c>
      <c r="O22" s="32">
        <f t="shared" si="3"/>
        <v>183215.24062136386</v>
      </c>
    </row>
    <row r="23" spans="2:15" x14ac:dyDescent="0.35">
      <c r="B23" s="17" t="s">
        <v>76</v>
      </c>
      <c r="C23" s="31">
        <f>'Live Model'!C5</f>
        <v>3267000</v>
      </c>
      <c r="D23" s="30">
        <f t="shared" ref="D23:O23" si="4">C24</f>
        <v>3531721.5141869904</v>
      </c>
      <c r="E23" s="30">
        <f t="shared" si="4"/>
        <v>3482525.8728611004</v>
      </c>
      <c r="F23" s="30">
        <f t="shared" si="4"/>
        <v>3513972.4537552232</v>
      </c>
      <c r="G23" s="30">
        <f t="shared" si="4"/>
        <v>3471299.5323485453</v>
      </c>
      <c r="H23" s="30">
        <f t="shared" si="4"/>
        <v>3749326.4791802992</v>
      </c>
      <c r="I23" s="30">
        <f t="shared" si="4"/>
        <v>3628213.0892061563</v>
      </c>
      <c r="J23" s="30">
        <f t="shared" si="4"/>
        <v>3722143.3227477511</v>
      </c>
      <c r="K23" s="30">
        <f t="shared" si="4"/>
        <v>3348934.3965466479</v>
      </c>
      <c r="L23" s="30">
        <f t="shared" si="4"/>
        <v>3586448.0206453083</v>
      </c>
      <c r="M23" s="30">
        <f t="shared" si="4"/>
        <v>3337296.2675288431</v>
      </c>
      <c r="N23" s="30">
        <f t="shared" si="4"/>
        <v>3523967.7466717772</v>
      </c>
      <c r="O23" s="30">
        <f t="shared" si="4"/>
        <v>3257387.6595219369</v>
      </c>
    </row>
    <row r="24" spans="2:15" x14ac:dyDescent="0.35">
      <c r="B24" s="19" t="s">
        <v>87</v>
      </c>
      <c r="C24" s="32">
        <f t="shared" ref="C24:O24" si="5">C23+C22</f>
        <v>3531721.5141869904</v>
      </c>
      <c r="D24" s="32">
        <f t="shared" si="5"/>
        <v>3482525.8728611004</v>
      </c>
      <c r="E24" s="32">
        <f t="shared" si="5"/>
        <v>3513972.4537552232</v>
      </c>
      <c r="F24" s="32">
        <f t="shared" si="5"/>
        <v>3471299.5323485453</v>
      </c>
      <c r="G24" s="32">
        <f t="shared" si="5"/>
        <v>3749326.4791802992</v>
      </c>
      <c r="H24" s="32">
        <f t="shared" si="5"/>
        <v>3628213.0892061563</v>
      </c>
      <c r="I24" s="32">
        <f t="shared" si="5"/>
        <v>3722143.3227477511</v>
      </c>
      <c r="J24" s="32">
        <f t="shared" si="5"/>
        <v>3348934.3965466479</v>
      </c>
      <c r="K24" s="32">
        <f t="shared" si="5"/>
        <v>3586448.0206453083</v>
      </c>
      <c r="L24" s="32">
        <f t="shared" si="5"/>
        <v>3337296.2675288431</v>
      </c>
      <c r="M24" s="32">
        <f t="shared" si="5"/>
        <v>3523967.7466717772</v>
      </c>
      <c r="N24" s="32">
        <f t="shared" si="5"/>
        <v>3257387.6595219369</v>
      </c>
      <c r="O24" s="32">
        <f t="shared" si="5"/>
        <v>3440602.9001433006</v>
      </c>
    </row>
    <row r="25" spans="2:15" x14ac:dyDescent="0.35">
      <c r="B25" s="17" t="s">
        <v>89</v>
      </c>
      <c r="C25" s="30">
        <f>C24-'Live Model'!C21</f>
        <v>2331721.5141869904</v>
      </c>
      <c r="D25" s="30">
        <f>D24-'Live Model'!D21</f>
        <v>2282525.8728611004</v>
      </c>
      <c r="E25" s="30">
        <f>E24-'Live Model'!E21</f>
        <v>2313972.4537552232</v>
      </c>
      <c r="F25" s="30">
        <f>F24-'Live Model'!F21</f>
        <v>2271299.5323485453</v>
      </c>
      <c r="G25" s="30">
        <f>G24-'Live Model'!G21</f>
        <v>2549326.4791802992</v>
      </c>
      <c r="H25" s="30">
        <f>H24-'Live Model'!H21</f>
        <v>2428213.0892061563</v>
      </c>
      <c r="I25" s="30">
        <f>I24-'Live Model'!I21</f>
        <v>2522143.3227477511</v>
      </c>
      <c r="J25" s="30">
        <f>J24-'Live Model'!J21</f>
        <v>2148934.3965466479</v>
      </c>
      <c r="K25" s="30">
        <f>K24-'Live Model'!K21</f>
        <v>2386448.0206453083</v>
      </c>
      <c r="L25" s="30">
        <f>L24-'Live Model'!L21</f>
        <v>2137296.2675288431</v>
      </c>
      <c r="M25" s="30">
        <f>M24-'Live Model'!M21</f>
        <v>2323967.7466717772</v>
      </c>
      <c r="N25" s="30">
        <f>N24-'Live Model'!N21</f>
        <v>2057387.6595219369</v>
      </c>
      <c r="O25" s="30">
        <f>O24-'Live Model'!O21</f>
        <v>2240602.9001433006</v>
      </c>
    </row>
    <row r="27" spans="2:15" x14ac:dyDescent="0.35">
      <c r="B27" s="5" t="s">
        <v>99</v>
      </c>
      <c r="C27" s="11"/>
      <c r="D27" s="11"/>
      <c r="E27" s="11"/>
      <c r="F27" s="11"/>
      <c r="G27" s="11"/>
      <c r="H27" s="11"/>
      <c r="I27" s="11"/>
      <c r="J27" s="11"/>
      <c r="K27" s="11"/>
      <c r="L27" s="11"/>
      <c r="M27" s="11"/>
      <c r="N27" s="11"/>
      <c r="O27" s="11"/>
    </row>
    <row r="28" spans="2:15" x14ac:dyDescent="0.35">
      <c r="B28" s="19" t="s">
        <v>59</v>
      </c>
      <c r="C28" s="19">
        <v>5</v>
      </c>
      <c r="D28" s="19">
        <v>6</v>
      </c>
      <c r="E28" s="19">
        <v>7</v>
      </c>
      <c r="F28" s="19">
        <v>8</v>
      </c>
      <c r="G28" s="19">
        <v>9</v>
      </c>
      <c r="H28" s="19">
        <v>10</v>
      </c>
      <c r="I28" s="19">
        <v>11</v>
      </c>
      <c r="J28" s="19">
        <v>12</v>
      </c>
      <c r="K28" s="19">
        <v>13</v>
      </c>
      <c r="L28" s="19">
        <v>14</v>
      </c>
      <c r="M28" s="19">
        <v>15</v>
      </c>
      <c r="N28" s="19">
        <v>16</v>
      </c>
      <c r="O28" s="19">
        <v>17</v>
      </c>
    </row>
    <row r="29" spans="2:15" x14ac:dyDescent="0.35">
      <c r="B29" s="17" t="s">
        <v>97</v>
      </c>
      <c r="C29" s="29">
        <f>'Live Model'!C8*(1+$C$7)</f>
        <v>931532.31518699008</v>
      </c>
      <c r="D29" s="29">
        <f>'Live Model'!D8*(1+$C$7)</f>
        <v>943706.29982993007</v>
      </c>
      <c r="E29" s="29">
        <f>'Live Model'!E8*(1+$C$7)</f>
        <v>955496.82624694169</v>
      </c>
      <c r="F29" s="29">
        <f>'Live Model'!F8*(1+$C$7)</f>
        <v>965511.50267515483</v>
      </c>
      <c r="G29" s="29">
        <f>'Live Model'!G8*(1+$C$7)</f>
        <v>972195.72717083374</v>
      </c>
      <c r="H29" s="29">
        <f>'Live Model'!H8*(1+$C$7)</f>
        <v>979006.42787305289</v>
      </c>
      <c r="I29" s="29">
        <f>'Live Model'!I8*(1+$C$7)</f>
        <v>970875.29169285716</v>
      </c>
      <c r="J29" s="29">
        <f>'Live Model'!J8*(1+$C$7)</f>
        <v>943099.72683487204</v>
      </c>
      <c r="K29" s="29">
        <f>'Live Model'!K8*(1+$C$7)</f>
        <v>905009.4916091247</v>
      </c>
      <c r="L29" s="29">
        <f>'Live Model'!L8*(1+$C$7)</f>
        <v>858515.58137031889</v>
      </c>
      <c r="M29" s="29">
        <f>'Live Model'!M8*(1+$C$7)</f>
        <v>792956.57536963653</v>
      </c>
      <c r="N29" s="29">
        <f>'Live Model'!N8*(1+$C$7)</f>
        <v>713622.38651657396</v>
      </c>
      <c r="O29" s="29">
        <f>'Live Model'!O8*(1+$C$7)</f>
        <v>715969.97426509159</v>
      </c>
    </row>
    <row r="30" spans="2:15" x14ac:dyDescent="0.35">
      <c r="B30" s="17" t="s">
        <v>85</v>
      </c>
      <c r="C30" s="29">
        <f>'Live Model'!C16*(1+$D$7)</f>
        <v>777726.15545690979</v>
      </c>
      <c r="D30" s="29">
        <f>'Live Model'!D16*(1+$D$7)</f>
        <v>1117961.892873629</v>
      </c>
      <c r="E30" s="29">
        <f>'Live Model'!E16*(1+$D$7)</f>
        <v>1047422.4029318724</v>
      </c>
      <c r="F30" s="29">
        <f>'Live Model'!F16*(1+$D$7)</f>
        <v>1135827.623895729</v>
      </c>
      <c r="G30" s="29">
        <f>'Live Model'!G16*(1+$D$7)</f>
        <v>809855.84079244023</v>
      </c>
      <c r="H30" s="29">
        <f>'Live Model'!H16*(1+$D$7)</f>
        <v>1232660.8440382986</v>
      </c>
      <c r="I30" s="29">
        <f>'Live Model'!I16*(1+$D$7)</f>
        <v>999823.75642171002</v>
      </c>
      <c r="J30" s="29">
        <f>'Live Model'!J16*(1+$D$7)</f>
        <v>1454250.0179320464</v>
      </c>
      <c r="K30" s="29">
        <f>'Live Model'!K16*(1+$D$7)</f>
        <v>776040.03884336003</v>
      </c>
      <c r="L30" s="29">
        <f>'Live Model'!L16*(1+$D$7)</f>
        <v>1229613.6978336582</v>
      </c>
      <c r="M30" s="29">
        <f>'Live Model'!M16*(1+$D$7)</f>
        <v>702247.35558745917</v>
      </c>
      <c r="N30" s="29">
        <f>'Live Model'!N16*(1+$D$7)</f>
        <v>1083946.8580023958</v>
      </c>
      <c r="O30" s="29">
        <f>'Live Model'!O16*(1+$D$7)</f>
        <v>618813.5119664938</v>
      </c>
    </row>
    <row r="31" spans="2:15" x14ac:dyDescent="0.35">
      <c r="B31" s="19" t="s">
        <v>86</v>
      </c>
      <c r="C31" s="32">
        <f t="shared" ref="C31:O31" si="6">C29-C30</f>
        <v>153806.15973008028</v>
      </c>
      <c r="D31" s="32">
        <f t="shared" si="6"/>
        <v>-174255.59304369893</v>
      </c>
      <c r="E31" s="32">
        <f t="shared" si="6"/>
        <v>-91925.576684930711</v>
      </c>
      <c r="F31" s="32">
        <f t="shared" si="6"/>
        <v>-170316.12122057413</v>
      </c>
      <c r="G31" s="32">
        <f t="shared" si="6"/>
        <v>162339.88637839351</v>
      </c>
      <c r="H31" s="32">
        <f t="shared" si="6"/>
        <v>-253654.4161652457</v>
      </c>
      <c r="I31" s="32">
        <f t="shared" si="6"/>
        <v>-28948.46472885285</v>
      </c>
      <c r="J31" s="32">
        <f t="shared" si="6"/>
        <v>-511150.2910971744</v>
      </c>
      <c r="K31" s="32">
        <f t="shared" si="6"/>
        <v>128969.45276576467</v>
      </c>
      <c r="L31" s="32">
        <f t="shared" si="6"/>
        <v>-371098.11646333931</v>
      </c>
      <c r="M31" s="32">
        <f t="shared" si="6"/>
        <v>90709.219782177359</v>
      </c>
      <c r="N31" s="32">
        <f t="shared" si="6"/>
        <v>-370324.47148582188</v>
      </c>
      <c r="O31" s="32">
        <f t="shared" si="6"/>
        <v>97156.462298597791</v>
      </c>
    </row>
    <row r="32" spans="2:15" x14ac:dyDescent="0.35">
      <c r="B32" s="17" t="s">
        <v>76</v>
      </c>
      <c r="C32" s="31">
        <f>'Live Model'!C5</f>
        <v>3267000</v>
      </c>
      <c r="D32" s="30">
        <f t="shared" ref="D32:O32" si="7">C33</f>
        <v>3420806.1597300805</v>
      </c>
      <c r="E32" s="30">
        <f t="shared" si="7"/>
        <v>3246550.5666863816</v>
      </c>
      <c r="F32" s="30">
        <f t="shared" si="7"/>
        <v>3154624.9900014508</v>
      </c>
      <c r="G32" s="30">
        <f t="shared" si="7"/>
        <v>2984308.8687808765</v>
      </c>
      <c r="H32" s="30">
        <f t="shared" si="7"/>
        <v>3146648.75515927</v>
      </c>
      <c r="I32" s="30">
        <f t="shared" si="7"/>
        <v>2892994.3389940243</v>
      </c>
      <c r="J32" s="30">
        <f t="shared" si="7"/>
        <v>2864045.8742651716</v>
      </c>
      <c r="K32" s="30">
        <f t="shared" si="7"/>
        <v>2352895.5831679972</v>
      </c>
      <c r="L32" s="30">
        <f t="shared" si="7"/>
        <v>2481865.0359337619</v>
      </c>
      <c r="M32" s="30">
        <f t="shared" si="7"/>
        <v>2110766.9194704224</v>
      </c>
      <c r="N32" s="30">
        <f t="shared" si="7"/>
        <v>2201476.1392525998</v>
      </c>
      <c r="O32" s="30">
        <f t="shared" si="7"/>
        <v>1831151.6677667778</v>
      </c>
    </row>
    <row r="33" spans="2:15" x14ac:dyDescent="0.35">
      <c r="B33" s="19" t="s">
        <v>87</v>
      </c>
      <c r="C33" s="32">
        <f t="shared" ref="C33:O33" si="8">C32+C31</f>
        <v>3420806.1597300805</v>
      </c>
      <c r="D33" s="32">
        <f t="shared" si="8"/>
        <v>3246550.5666863816</v>
      </c>
      <c r="E33" s="32">
        <f t="shared" si="8"/>
        <v>3154624.9900014508</v>
      </c>
      <c r="F33" s="32">
        <f t="shared" si="8"/>
        <v>2984308.8687808765</v>
      </c>
      <c r="G33" s="32">
        <f t="shared" si="8"/>
        <v>3146648.75515927</v>
      </c>
      <c r="H33" s="32">
        <f t="shared" si="8"/>
        <v>2892994.3389940243</v>
      </c>
      <c r="I33" s="32">
        <f t="shared" si="8"/>
        <v>2864045.8742651716</v>
      </c>
      <c r="J33" s="32">
        <f t="shared" si="8"/>
        <v>2352895.5831679972</v>
      </c>
      <c r="K33" s="32">
        <f t="shared" si="8"/>
        <v>2481865.0359337619</v>
      </c>
      <c r="L33" s="32">
        <f t="shared" si="8"/>
        <v>2110766.9194704224</v>
      </c>
      <c r="M33" s="32">
        <f t="shared" si="8"/>
        <v>2201476.1392525998</v>
      </c>
      <c r="N33" s="32">
        <f t="shared" si="8"/>
        <v>1831151.6677667778</v>
      </c>
      <c r="O33" s="32">
        <f t="shared" si="8"/>
        <v>1928308.1300653755</v>
      </c>
    </row>
    <row r="34" spans="2:15" x14ac:dyDescent="0.35">
      <c r="B34" s="17" t="s">
        <v>89</v>
      </c>
      <c r="C34" s="30">
        <f>C33-'Live Model'!C21</f>
        <v>2220806.1597300805</v>
      </c>
      <c r="D34" s="30">
        <f>D33-'Live Model'!D21</f>
        <v>2046550.5666863816</v>
      </c>
      <c r="E34" s="30">
        <f>E33-'Live Model'!E21</f>
        <v>1954624.9900014508</v>
      </c>
      <c r="F34" s="30">
        <f>F33-'Live Model'!F21</f>
        <v>1784308.8687808765</v>
      </c>
      <c r="G34" s="30">
        <f>G33-'Live Model'!G21</f>
        <v>1946648.75515927</v>
      </c>
      <c r="H34" s="30">
        <f>H33-'Live Model'!H21</f>
        <v>1692994.3389940243</v>
      </c>
      <c r="I34" s="30">
        <f>I33-'Live Model'!I21</f>
        <v>1664045.8742651716</v>
      </c>
      <c r="J34" s="30">
        <f>J33-'Live Model'!J21</f>
        <v>1152895.5831679972</v>
      </c>
      <c r="K34" s="30">
        <f>K33-'Live Model'!K21</f>
        <v>1281865.0359337619</v>
      </c>
      <c r="L34" s="30">
        <f>L33-'Live Model'!L21</f>
        <v>910766.91947042244</v>
      </c>
      <c r="M34" s="30">
        <f>M33-'Live Model'!M21</f>
        <v>1001476.1392525998</v>
      </c>
      <c r="N34" s="30">
        <f>N33-'Live Model'!N21</f>
        <v>631151.6677667778</v>
      </c>
      <c r="O34" s="30">
        <f>O33-'Live Model'!O21</f>
        <v>728308.13006537547</v>
      </c>
    </row>
    <row r="36" spans="2:15" x14ac:dyDescent="0.35">
      <c r="B36" s="5" t="s">
        <v>100</v>
      </c>
      <c r="C36" s="11"/>
      <c r="D36" s="11"/>
      <c r="E36" s="11"/>
      <c r="F36" s="11"/>
    </row>
    <row r="37" spans="2:15" x14ac:dyDescent="0.35">
      <c r="B37" s="16" t="s">
        <v>12</v>
      </c>
      <c r="C37" s="47" t="s">
        <v>101</v>
      </c>
      <c r="D37" s="47" t="s">
        <v>102</v>
      </c>
      <c r="E37" s="47" t="s">
        <v>34</v>
      </c>
      <c r="F37" s="47" t="s">
        <v>103</v>
      </c>
    </row>
    <row r="38" spans="2:15" x14ac:dyDescent="0.35">
      <c r="B38" s="19" t="s">
        <v>93</v>
      </c>
      <c r="C38" s="30">
        <f>O15</f>
        <v>4448220.7371947756</v>
      </c>
      <c r="D38" s="30">
        <f>MIN(C16:O16)</f>
        <v>2404782.6787776407</v>
      </c>
      <c r="E38" s="30">
        <f>AVERAGE(C13:O13)</f>
        <v>90863.133630367316</v>
      </c>
      <c r="F38" s="34" t="str">
        <f>IF(E38&gt;=0,"N/A (cash flow positive)",Actuals!$F$19/-E38)</f>
        <v>N/A (cash flow positive)</v>
      </c>
    </row>
    <row r="39" spans="2:15" x14ac:dyDescent="0.35">
      <c r="B39" s="19" t="s">
        <v>94</v>
      </c>
      <c r="C39" s="30">
        <f>O24</f>
        <v>3440602.9001433006</v>
      </c>
      <c r="D39" s="30">
        <f>MIN(C25:O25)</f>
        <v>2057387.6595219369</v>
      </c>
      <c r="E39" s="30">
        <f>AVERAGE(C22:O22)</f>
        <v>13354.069241792429</v>
      </c>
      <c r="F39" s="34" t="str">
        <f>IF(E39&gt;=0,"N/A (cash flow positive)",Actuals!$F$19/-E39)</f>
        <v>N/A (cash flow positive)</v>
      </c>
    </row>
    <row r="40" spans="2:15" x14ac:dyDescent="0.35">
      <c r="B40" s="19" t="s">
        <v>95</v>
      </c>
      <c r="C40" s="30">
        <f>O33</f>
        <v>1928308.1300653755</v>
      </c>
      <c r="D40" s="30">
        <f>MIN(C34:O34)</f>
        <v>631151.6677667778</v>
      </c>
      <c r="E40" s="30">
        <f>AVERAGE(C31:O31)</f>
        <v>-102976.29768727881</v>
      </c>
      <c r="F40" s="34">
        <f>IF(E40&gt;=0,"N/A (cash flow positive)",Actuals!$F$19/-E40)</f>
        <v>31.725747316351509</v>
      </c>
    </row>
  </sheetData>
  <pageMargins left="0.75" right="0.75" top="1" bottom="1" header="0.511811023622047" footer="0.511811023622047"/>
  <pageSetup paperSize="9"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pageSetUpPr fitToPage="1"/>
  </sheetPr>
  <dimension ref="B1:E24"/>
  <sheetViews>
    <sheetView showGridLines="0" zoomScaleNormal="100" workbookViewId="0"/>
  </sheetViews>
  <sheetFormatPr defaultColWidth="8.6328125" defaultRowHeight="14.5" x14ac:dyDescent="0.35"/>
  <cols>
    <col min="1" max="1" width="2" customWidth="1"/>
    <col min="2" max="2" width="56.6328125" customWidth="1"/>
    <col min="3" max="3" width="22" customWidth="1"/>
    <col min="4" max="4" width="45" customWidth="1"/>
    <col min="5" max="5" width="19.6328125" customWidth="1"/>
  </cols>
  <sheetData>
    <row r="1" spans="2:4" ht="18" customHeight="1" x14ac:dyDescent="0.4">
      <c r="B1" s="37" t="str">
        <f>"KPI Summary - As Of Week "&amp;Assumptions!$C$30&amp;" ("&amp;TEXT(INDEX(Actuals!$C$3:$F$3,Assumptions!$C$30),"mm/dd/yyyy")&amp;")"</f>
        <v>KPI Summary - As Of Week 4 (09/11/2026)</v>
      </c>
    </row>
    <row r="3" spans="2:4" x14ac:dyDescent="0.35">
      <c r="B3" s="5" t="s">
        <v>126</v>
      </c>
      <c r="C3" s="11"/>
      <c r="D3" s="11"/>
    </row>
    <row r="4" spans="2:4" x14ac:dyDescent="0.35">
      <c r="B4" s="17" t="s">
        <v>127</v>
      </c>
      <c r="C4" s="31">
        <f>Actuals!$F$19</f>
        <v>3267000</v>
      </c>
    </row>
    <row r="5" spans="2:4" x14ac:dyDescent="0.35">
      <c r="B5" s="17" t="s">
        <v>128</v>
      </c>
      <c r="C5" s="31">
        <f>'Live Model'!$O$19</f>
        <v>3440602.9001433006</v>
      </c>
    </row>
    <row r="6" spans="2:4" x14ac:dyDescent="0.35">
      <c r="B6" s="17" t="s">
        <v>88</v>
      </c>
      <c r="C6" s="31">
        <f>Assumptions!$C$28</f>
        <v>1200000</v>
      </c>
    </row>
    <row r="7" spans="2:4" x14ac:dyDescent="0.35">
      <c r="B7" s="17" t="s">
        <v>129</v>
      </c>
      <c r="C7" s="31">
        <f>MIN('Live Model'!$C$22:$O$22)</f>
        <v>2057387.6595219369</v>
      </c>
    </row>
    <row r="8" spans="2:4" x14ac:dyDescent="0.35">
      <c r="B8" s="17" t="s">
        <v>130</v>
      </c>
      <c r="C8" s="31">
        <f>AVERAGE('Live Model'!$C$18:$O$18)</f>
        <v>13354.069241792429</v>
      </c>
    </row>
    <row r="9" spans="2:4" x14ac:dyDescent="0.35">
      <c r="B9" s="19" t="s">
        <v>131</v>
      </c>
      <c r="C9" s="38" t="str">
        <f>IF(C8&gt;=0,"N/A (cash flow positive)",C4/-C8)</f>
        <v>N/A (cash flow positive)</v>
      </c>
    </row>
    <row r="11" spans="2:4" x14ac:dyDescent="0.35">
      <c r="B11" s="5" t="s">
        <v>132</v>
      </c>
      <c r="C11" s="11"/>
      <c r="D11" s="11"/>
    </row>
    <row r="12" spans="2:4" x14ac:dyDescent="0.35">
      <c r="B12" s="17" t="s">
        <v>133</v>
      </c>
      <c r="C12" s="31">
        <f>Actuals!$F$18</f>
        <v>-105000</v>
      </c>
    </row>
    <row r="13" spans="2:4" x14ac:dyDescent="0.35">
      <c r="B13" s="17" t="s">
        <v>134</v>
      </c>
      <c r="C13" s="39">
        <f>'Variance Calc'!$F$66</f>
        <v>2.7805170562418692E-2</v>
      </c>
    </row>
    <row r="14" spans="2:4" x14ac:dyDescent="0.35">
      <c r="B14" s="5" t="s">
        <v>135</v>
      </c>
      <c r="C14" s="11"/>
      <c r="D14" s="11"/>
    </row>
    <row r="15" spans="2:4" x14ac:dyDescent="0.35">
      <c r="B15" s="40" t="s">
        <v>136</v>
      </c>
      <c r="C15" s="39">
        <f>'Variance Calc'!$D$53</f>
        <v>6.1405835395203612E-2</v>
      </c>
    </row>
    <row r="16" spans="2:4" x14ac:dyDescent="0.35">
      <c r="B16" s="40" t="s">
        <v>137</v>
      </c>
      <c r="C16" s="39">
        <f>'Variance Calc'!$D$54</f>
        <v>7.3089031302718169E-2</v>
      </c>
    </row>
    <row r="17" spans="2:5" x14ac:dyDescent="0.35">
      <c r="B17" s="40" t="s">
        <v>138</v>
      </c>
      <c r="C17" s="39">
        <f>'Variance Calc'!$D$55</f>
        <v>9.6171958546974676E-2</v>
      </c>
    </row>
    <row r="18" spans="2:5" x14ac:dyDescent="0.35">
      <c r="B18" s="40" t="s">
        <v>139</v>
      </c>
      <c r="C18" s="39">
        <f>'Variance Calc'!$D$56</f>
        <v>2.1066135207216025E-2</v>
      </c>
    </row>
    <row r="20" spans="2:5" x14ac:dyDescent="0.35">
      <c r="B20" s="5" t="s">
        <v>180</v>
      </c>
      <c r="C20" s="11"/>
      <c r="D20" s="11"/>
      <c r="E20" s="11"/>
    </row>
    <row r="21" spans="2:5" x14ac:dyDescent="0.35">
      <c r="B21" s="16" t="s">
        <v>12</v>
      </c>
      <c r="C21" s="47" t="s">
        <v>101</v>
      </c>
      <c r="D21" s="47" t="s">
        <v>102</v>
      </c>
      <c r="E21" s="47" t="s">
        <v>103</v>
      </c>
    </row>
    <row r="22" spans="2:5" x14ac:dyDescent="0.35">
      <c r="B22" s="19" t="s">
        <v>93</v>
      </c>
      <c r="C22" s="31">
        <f>Scenario!$C$38</f>
        <v>4448220.7371947756</v>
      </c>
      <c r="D22" s="31">
        <f>Scenario!$D$38</f>
        <v>2404782.6787776407</v>
      </c>
      <c r="E22" s="41" t="str">
        <f>Scenario!$F$38</f>
        <v>N/A (cash flow positive)</v>
      </c>
    </row>
    <row r="23" spans="2:5" x14ac:dyDescent="0.35">
      <c r="B23" s="19" t="s">
        <v>94</v>
      </c>
      <c r="C23" s="31">
        <f>Scenario!$C$39</f>
        <v>3440602.9001433006</v>
      </c>
      <c r="D23" s="31">
        <f>Scenario!$D$39</f>
        <v>2057387.6595219369</v>
      </c>
      <c r="E23" s="41" t="str">
        <f>Scenario!$F$39</f>
        <v>N/A (cash flow positive)</v>
      </c>
    </row>
    <row r="24" spans="2:5" x14ac:dyDescent="0.35">
      <c r="B24" s="19" t="s">
        <v>95</v>
      </c>
      <c r="C24" s="31">
        <f>Scenario!$C$40</f>
        <v>1928308.1300653755</v>
      </c>
      <c r="D24" s="31">
        <f>Scenario!$D$40</f>
        <v>631151.6677667778</v>
      </c>
      <c r="E24" s="41">
        <f>Scenario!$F$40</f>
        <v>31.725747316351509</v>
      </c>
    </row>
  </sheetData>
  <pageMargins left="0.75" right="0.75" top="1" bottom="1" header="0.511811023622047" footer="0.511811023622047"/>
  <pageSetup paperSize="9"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pageSetUpPr fitToPage="1"/>
  </sheetPr>
  <dimension ref="A1:H60"/>
  <sheetViews>
    <sheetView showGridLines="0" zoomScaleNormal="100" workbookViewId="0"/>
  </sheetViews>
  <sheetFormatPr defaultColWidth="8.6328125" defaultRowHeight="14.5" x14ac:dyDescent="0.35"/>
  <cols>
    <col min="1" max="1" width="13" customWidth="1"/>
    <col min="2" max="2" width="16.81640625" customWidth="1"/>
    <col min="3" max="3" width="18.90625" customWidth="1"/>
    <col min="4" max="8" width="15" customWidth="1"/>
  </cols>
  <sheetData>
    <row r="1" spans="1:8" ht="15.5" x14ac:dyDescent="0.35">
      <c r="A1" s="43" t="s">
        <v>170</v>
      </c>
    </row>
    <row r="3" spans="1:8" x14ac:dyDescent="0.35">
      <c r="A3" s="42" t="s">
        <v>116</v>
      </c>
      <c r="B3" s="42" t="s">
        <v>60</v>
      </c>
      <c r="C3" s="53" t="s">
        <v>73</v>
      </c>
      <c r="D3" s="42" t="s">
        <v>87</v>
      </c>
      <c r="E3" s="42" t="s">
        <v>140</v>
      </c>
      <c r="F3" s="42" t="s">
        <v>141</v>
      </c>
      <c r="G3" s="42" t="s">
        <v>142</v>
      </c>
      <c r="H3" s="42" t="s">
        <v>86</v>
      </c>
    </row>
    <row r="4" spans="1:8" x14ac:dyDescent="0.35">
      <c r="A4" s="17" t="s">
        <v>143</v>
      </c>
      <c r="B4" s="44">
        <f>'Driver Build'!C4</f>
        <v>46255</v>
      </c>
      <c r="C4" s="9" t="str">
        <f>'Driver Build'!C5</f>
        <v>Actual</v>
      </c>
      <c r="D4" s="31">
        <f>Actuals!C19</f>
        <v>3069000</v>
      </c>
      <c r="E4" s="31">
        <f>Assumptions!$C$28</f>
        <v>1200000</v>
      </c>
      <c r="F4" s="31">
        <f>Actuals!C8</f>
        <v>913000</v>
      </c>
      <c r="G4" s="31">
        <f>Actuals!C16</f>
        <v>694000</v>
      </c>
      <c r="H4" s="31">
        <f>Actuals!C18</f>
        <v>219000</v>
      </c>
    </row>
    <row r="5" spans="1:8" x14ac:dyDescent="0.35">
      <c r="A5" s="17" t="s">
        <v>144</v>
      </c>
      <c r="B5" s="44">
        <f>'Driver Build'!D4</f>
        <v>46262</v>
      </c>
      <c r="C5" s="9" t="str">
        <f>'Driver Build'!D5</f>
        <v>Actual</v>
      </c>
      <c r="D5" s="31">
        <f>Actuals!D19</f>
        <v>2977000</v>
      </c>
      <c r="E5" s="31">
        <f>Assumptions!$C$28</f>
        <v>1200000</v>
      </c>
      <c r="F5" s="31">
        <f>Actuals!D8</f>
        <v>943000</v>
      </c>
      <c r="G5" s="31">
        <f>Actuals!D16</f>
        <v>1035000</v>
      </c>
      <c r="H5" s="31">
        <f>Actuals!D18</f>
        <v>-92000</v>
      </c>
    </row>
    <row r="6" spans="1:8" x14ac:dyDescent="0.35">
      <c r="A6" s="17" t="s">
        <v>145</v>
      </c>
      <c r="B6" s="44">
        <f>'Driver Build'!E4</f>
        <v>46269</v>
      </c>
      <c r="C6" s="9" t="str">
        <f>'Driver Build'!E5</f>
        <v>Actual</v>
      </c>
      <c r="D6" s="31">
        <f>Actuals!E19</f>
        <v>3372000</v>
      </c>
      <c r="E6" s="31">
        <f>Assumptions!$C$28</f>
        <v>1200000</v>
      </c>
      <c r="F6" s="31">
        <f>Actuals!E8</f>
        <v>1150000</v>
      </c>
      <c r="G6" s="31">
        <f>Actuals!E16</f>
        <v>755000</v>
      </c>
      <c r="H6" s="31">
        <f>Actuals!E18</f>
        <v>395000</v>
      </c>
    </row>
    <row r="7" spans="1:8" x14ac:dyDescent="0.35">
      <c r="A7" s="17" t="s">
        <v>146</v>
      </c>
      <c r="B7" s="44">
        <f>'Driver Build'!F4</f>
        <v>46276</v>
      </c>
      <c r="C7" s="9" t="str">
        <f>'Driver Build'!F5</f>
        <v>Actual</v>
      </c>
      <c r="D7" s="31">
        <f>Actuals!F19</f>
        <v>3267000</v>
      </c>
      <c r="E7" s="31">
        <f>Assumptions!$C$28</f>
        <v>1200000</v>
      </c>
      <c r="F7" s="31">
        <f>Actuals!F8</f>
        <v>976000</v>
      </c>
      <c r="G7" s="31">
        <f>Actuals!F16</f>
        <v>1081000</v>
      </c>
      <c r="H7" s="31">
        <f>Actuals!F18</f>
        <v>-105000</v>
      </c>
    </row>
    <row r="8" spans="1:8" x14ac:dyDescent="0.35">
      <c r="A8" s="17" t="s">
        <v>147</v>
      </c>
      <c r="B8" s="44">
        <f>'Driver Build'!G4</f>
        <v>46283</v>
      </c>
      <c r="C8" s="9" t="str">
        <f>'Driver Build'!G5</f>
        <v>Forecast</v>
      </c>
      <c r="D8" s="31">
        <f>'Live Model'!C19</f>
        <v>3531721.5141869904</v>
      </c>
      <c r="E8" s="31">
        <f>Assumptions!$C$28</f>
        <v>1200000</v>
      </c>
      <c r="F8" s="31">
        <f>'Live Model'!C8</f>
        <v>1012535.12520325</v>
      </c>
      <c r="G8" s="31">
        <f>'Live Model'!C16</f>
        <v>747813.61101625941</v>
      </c>
      <c r="H8" s="31">
        <f>'Live Model'!C18</f>
        <v>264721.51418699056</v>
      </c>
    </row>
    <row r="9" spans="1:8" x14ac:dyDescent="0.35">
      <c r="A9" s="17" t="s">
        <v>148</v>
      </c>
      <c r="B9" s="44">
        <f>'Driver Build'!H4</f>
        <v>46290</v>
      </c>
      <c r="C9" s="9" t="str">
        <f>'Driver Build'!H5</f>
        <v>Forecast</v>
      </c>
      <c r="D9" s="31">
        <f>'Live Model'!D19</f>
        <v>3482525.8728611004</v>
      </c>
      <c r="E9" s="31">
        <f>Assumptions!$C$28</f>
        <v>1200000</v>
      </c>
      <c r="F9" s="31">
        <f>'Live Model'!D8</f>
        <v>1025767.7172064456</v>
      </c>
      <c r="G9" s="31">
        <f>'Live Model'!D16</f>
        <v>1074963.3585323356</v>
      </c>
      <c r="H9" s="31">
        <f>'Live Model'!D18</f>
        <v>-49195.64132588997</v>
      </c>
    </row>
    <row r="10" spans="1:8" x14ac:dyDescent="0.35">
      <c r="A10" s="17" t="s">
        <v>149</v>
      </c>
      <c r="B10" s="44">
        <f>'Driver Build'!I4</f>
        <v>46297</v>
      </c>
      <c r="C10" s="9" t="str">
        <f>'Driver Build'!I5</f>
        <v>Forecast</v>
      </c>
      <c r="D10" s="31">
        <f>'Live Model'!E19</f>
        <v>3513972.4537552232</v>
      </c>
      <c r="E10" s="31">
        <f>Assumptions!$C$28</f>
        <v>1200000</v>
      </c>
      <c r="F10" s="31">
        <f>'Live Model'!E8</f>
        <v>1038583.506790154</v>
      </c>
      <c r="G10" s="31">
        <f>'Live Model'!E16</f>
        <v>1007136.9258960311</v>
      </c>
      <c r="H10" s="31">
        <f>'Live Model'!E18</f>
        <v>31446.580894122948</v>
      </c>
    </row>
    <row r="11" spans="1:8" x14ac:dyDescent="0.35">
      <c r="A11" s="17" t="s">
        <v>150</v>
      </c>
      <c r="B11" s="44">
        <f>'Driver Build'!J4</f>
        <v>46304</v>
      </c>
      <c r="C11" s="9" t="str">
        <f>'Driver Build'!J5</f>
        <v>Forecast</v>
      </c>
      <c r="D11" s="31">
        <f>'Live Model'!F19</f>
        <v>3471299.5323485453</v>
      </c>
      <c r="E11" s="31">
        <f>Assumptions!$C$28</f>
        <v>1200000</v>
      </c>
      <c r="F11" s="31">
        <f>'Live Model'!F8</f>
        <v>1049469.0246469073</v>
      </c>
      <c r="G11" s="31">
        <f>'Live Model'!F16</f>
        <v>1092141.9460535855</v>
      </c>
      <c r="H11" s="31">
        <f>'Live Model'!F18</f>
        <v>-42672.921406678157</v>
      </c>
    </row>
    <row r="12" spans="1:8" x14ac:dyDescent="0.35">
      <c r="A12" s="17" t="s">
        <v>151</v>
      </c>
      <c r="B12" s="44">
        <f>'Driver Build'!K4</f>
        <v>46311</v>
      </c>
      <c r="C12" s="9" t="str">
        <f>'Driver Build'!K5</f>
        <v>Forecast</v>
      </c>
      <c r="D12" s="31">
        <f>'Live Model'!G19</f>
        <v>3749326.4791802992</v>
      </c>
      <c r="E12" s="31">
        <f>Assumptions!$C$28</f>
        <v>1200000</v>
      </c>
      <c r="F12" s="31">
        <f>'Live Model'!G8</f>
        <v>1056734.486055254</v>
      </c>
      <c r="G12" s="31">
        <f>'Live Model'!G16</f>
        <v>778707.53922350018</v>
      </c>
      <c r="H12" s="31">
        <f>'Live Model'!G18</f>
        <v>278026.94683175383</v>
      </c>
    </row>
    <row r="13" spans="1:8" x14ac:dyDescent="0.35">
      <c r="A13" s="17" t="s">
        <v>152</v>
      </c>
      <c r="B13" s="44">
        <f>'Driver Build'!L4</f>
        <v>46318</v>
      </c>
      <c r="C13" s="9" t="str">
        <f>'Driver Build'!L5</f>
        <v>Forecast</v>
      </c>
      <c r="D13" s="31">
        <f>'Live Model'!H19</f>
        <v>3628213.0892061563</v>
      </c>
      <c r="E13" s="31">
        <f>Assumptions!$C$28</f>
        <v>1200000</v>
      </c>
      <c r="F13" s="31">
        <f>'Live Model'!H8</f>
        <v>1064137.4216011444</v>
      </c>
      <c r="G13" s="31">
        <f>'Live Model'!H16</f>
        <v>1185250.811575287</v>
      </c>
      <c r="H13" s="31">
        <f>'Live Model'!H18</f>
        <v>-121113.38997414266</v>
      </c>
    </row>
    <row r="14" spans="1:8" x14ac:dyDescent="0.35">
      <c r="A14" s="17" t="s">
        <v>153</v>
      </c>
      <c r="B14" s="44">
        <f>'Driver Build'!M4</f>
        <v>46325</v>
      </c>
      <c r="C14" s="9" t="str">
        <f>'Driver Build'!M5</f>
        <v>Forecast</v>
      </c>
      <c r="D14" s="31">
        <f>'Live Model'!I19</f>
        <v>3722143.3227477511</v>
      </c>
      <c r="E14" s="31">
        <f>Assumptions!$C$28</f>
        <v>1200000</v>
      </c>
      <c r="F14" s="31">
        <f>'Live Model'!I8</f>
        <v>1055299.2301009316</v>
      </c>
      <c r="G14" s="31">
        <f>'Live Model'!I16</f>
        <v>961368.99655933655</v>
      </c>
      <c r="H14" s="31">
        <f>'Live Model'!I18</f>
        <v>93930.233541595051</v>
      </c>
    </row>
    <row r="15" spans="1:8" x14ac:dyDescent="0.35">
      <c r="A15" s="17" t="s">
        <v>154</v>
      </c>
      <c r="B15" s="44">
        <f>'Driver Build'!N4</f>
        <v>46332</v>
      </c>
      <c r="C15" s="9" t="str">
        <f>'Driver Build'!N5</f>
        <v>Forecast</v>
      </c>
      <c r="D15" s="31">
        <f>'Live Model'!J19</f>
        <v>3348934.3965466479</v>
      </c>
      <c r="E15" s="31">
        <f>Assumptions!$C$28</f>
        <v>1200000</v>
      </c>
      <c r="F15" s="31">
        <f>'Live Model'!J8</f>
        <v>1025108.3987335565</v>
      </c>
      <c r="G15" s="31">
        <f>'Live Model'!J16</f>
        <v>1398317.32493466</v>
      </c>
      <c r="H15" s="31">
        <f>'Live Model'!J18</f>
        <v>-373208.92620110349</v>
      </c>
    </row>
    <row r="16" spans="1:8" x14ac:dyDescent="0.35">
      <c r="A16" s="17" t="s">
        <v>155</v>
      </c>
      <c r="B16" s="44">
        <f>'Driver Build'!O4</f>
        <v>46339</v>
      </c>
      <c r="C16" s="9" t="str">
        <f>'Driver Build'!O5</f>
        <v>Forecast</v>
      </c>
      <c r="D16" s="31">
        <f>'Live Model'!K19</f>
        <v>3586448.0206453083</v>
      </c>
      <c r="E16" s="31">
        <f>Assumptions!$C$28</f>
        <v>1200000</v>
      </c>
      <c r="F16" s="31">
        <f>'Live Model'!K8</f>
        <v>983705.96914035291</v>
      </c>
      <c r="G16" s="31">
        <f>'Live Model'!K16</f>
        <v>746192.34504169226</v>
      </c>
      <c r="H16" s="31">
        <f>'Live Model'!K18</f>
        <v>237513.62409866066</v>
      </c>
    </row>
    <row r="17" spans="1:8" x14ac:dyDescent="0.35">
      <c r="A17" s="17" t="s">
        <v>156</v>
      </c>
      <c r="B17" s="44">
        <f>'Driver Build'!P4</f>
        <v>46346</v>
      </c>
      <c r="C17" s="9" t="str">
        <f>'Driver Build'!P5</f>
        <v>Forecast</v>
      </c>
      <c r="D17" s="31">
        <f>'Live Model'!L19</f>
        <v>3337296.2675288431</v>
      </c>
      <c r="E17" s="31">
        <f>Assumptions!$C$28</f>
        <v>1200000</v>
      </c>
      <c r="F17" s="31">
        <f>'Live Model'!L8</f>
        <v>933169.11018512922</v>
      </c>
      <c r="G17" s="31">
        <f>'Live Model'!L16</f>
        <v>1182320.8633015943</v>
      </c>
      <c r="H17" s="31">
        <f>'Live Model'!L18</f>
        <v>-249151.75311646506</v>
      </c>
    </row>
    <row r="18" spans="1:8" x14ac:dyDescent="0.35">
      <c r="A18" s="17" t="s">
        <v>157</v>
      </c>
      <c r="B18" s="44">
        <f>'Driver Build'!Q4</f>
        <v>46353</v>
      </c>
      <c r="C18" s="9" t="str">
        <f>'Driver Build'!Q5</f>
        <v>Forecast</v>
      </c>
      <c r="D18" s="31">
        <f>'Live Model'!M19</f>
        <v>3523967.7466717772</v>
      </c>
      <c r="E18" s="31">
        <f>Assumptions!$C$28</f>
        <v>1200000</v>
      </c>
      <c r="F18" s="31">
        <f>'Live Model'!M8</f>
        <v>861909.32105395268</v>
      </c>
      <c r="G18" s="31">
        <f>'Live Model'!M16</f>
        <v>675237.84191101836</v>
      </c>
      <c r="H18" s="31">
        <f>'Live Model'!M18</f>
        <v>186671.47914293432</v>
      </c>
    </row>
    <row r="19" spans="1:8" x14ac:dyDescent="0.35">
      <c r="A19" s="17" t="s">
        <v>158</v>
      </c>
      <c r="B19" s="44">
        <f>'Driver Build'!R4</f>
        <v>46360</v>
      </c>
      <c r="C19" s="9" t="str">
        <f>'Driver Build'!R5</f>
        <v>Forecast</v>
      </c>
      <c r="D19" s="31">
        <f>'Live Model'!N19</f>
        <v>3257387.6595219369</v>
      </c>
      <c r="E19" s="31">
        <f>Assumptions!$C$28</f>
        <v>1200000</v>
      </c>
      <c r="F19" s="31">
        <f>'Live Model'!N8</f>
        <v>775676.50708323251</v>
      </c>
      <c r="G19" s="31">
        <f>'Live Model'!N16</f>
        <v>1042256.5942330728</v>
      </c>
      <c r="H19" s="31">
        <f>'Live Model'!N18</f>
        <v>-266580.08714984031</v>
      </c>
    </row>
    <row r="20" spans="1:8" x14ac:dyDescent="0.35">
      <c r="A20" s="17" t="s">
        <v>159</v>
      </c>
      <c r="B20" s="44">
        <f>'Driver Build'!S4</f>
        <v>46367</v>
      </c>
      <c r="C20" s="9" t="str">
        <f>'Driver Build'!S5</f>
        <v>Forecast</v>
      </c>
      <c r="D20" s="31">
        <f>'Live Model'!O19</f>
        <v>3440602.9001433006</v>
      </c>
      <c r="E20" s="31">
        <f>Assumptions!$C$28</f>
        <v>1200000</v>
      </c>
      <c r="F20" s="31">
        <f>'Live Model'!O8</f>
        <v>778228.23289683869</v>
      </c>
      <c r="G20" s="31">
        <f>'Live Model'!O16</f>
        <v>595012.99227547483</v>
      </c>
      <c r="H20" s="31">
        <f>'Live Model'!O18</f>
        <v>183215.24062136386</v>
      </c>
    </row>
    <row r="21" spans="1:8" x14ac:dyDescent="0.35">
      <c r="A21" s="17"/>
      <c r="B21" s="17"/>
      <c r="C21" s="17"/>
      <c r="D21" s="30"/>
      <c r="E21" s="30"/>
      <c r="F21" s="30"/>
      <c r="G21" s="30"/>
      <c r="H21" s="30"/>
    </row>
    <row r="22" spans="1:8" x14ac:dyDescent="0.35">
      <c r="A22" s="17"/>
      <c r="B22" s="17"/>
      <c r="C22" s="17"/>
      <c r="D22" s="30"/>
      <c r="E22" s="30"/>
      <c r="F22" s="30"/>
      <c r="G22" s="30"/>
      <c r="H22" s="30"/>
    </row>
    <row r="23" spans="1:8" x14ac:dyDescent="0.35">
      <c r="A23" s="42" t="s">
        <v>116</v>
      </c>
      <c r="B23" s="42" t="s">
        <v>93</v>
      </c>
      <c r="C23" s="42" t="s">
        <v>94</v>
      </c>
      <c r="D23" s="45" t="s">
        <v>95</v>
      </c>
      <c r="E23" s="45" t="s">
        <v>140</v>
      </c>
      <c r="F23" s="30"/>
      <c r="G23" s="30"/>
      <c r="H23" s="30"/>
    </row>
    <row r="24" spans="1:8" x14ac:dyDescent="0.35">
      <c r="A24" s="17" t="s">
        <v>146</v>
      </c>
      <c r="B24" s="31">
        <f>Actuals!$F$19</f>
        <v>3267000</v>
      </c>
      <c r="C24" s="31">
        <f>Actuals!$F$19</f>
        <v>3267000</v>
      </c>
      <c r="D24" s="31">
        <f>Actuals!$F$19</f>
        <v>3267000</v>
      </c>
      <c r="E24" s="31">
        <f>Assumptions!$C$28</f>
        <v>1200000</v>
      </c>
      <c r="F24" s="30"/>
      <c r="G24" s="30"/>
      <c r="H24" s="30"/>
    </row>
    <row r="25" spans="1:8" x14ac:dyDescent="0.35">
      <c r="A25" s="17" t="s">
        <v>147</v>
      </c>
      <c r="B25" s="31">
        <f>Scenario!C15</f>
        <v>3604782.6787776407</v>
      </c>
      <c r="C25" s="31">
        <f>Scenario!C24</f>
        <v>3531721.5141869904</v>
      </c>
      <c r="D25" s="31">
        <f>Scenario!C33</f>
        <v>3420806.1597300805</v>
      </c>
      <c r="E25" s="31">
        <f>Assumptions!$C$28</f>
        <v>1200000</v>
      </c>
      <c r="F25" s="30"/>
      <c r="G25" s="30"/>
      <c r="H25" s="30"/>
    </row>
    <row r="26" spans="1:8" x14ac:dyDescent="0.35">
      <c r="A26" s="17" t="s">
        <v>148</v>
      </c>
      <c r="B26" s="31">
        <f>Scenario!D15</f>
        <v>3639124.3240680434</v>
      </c>
      <c r="C26" s="31">
        <f>Scenario!D24</f>
        <v>3482525.8728611004</v>
      </c>
      <c r="D26" s="31">
        <f>Scenario!D33</f>
        <v>3246550.5666863816</v>
      </c>
      <c r="E26" s="31">
        <f>Assumptions!$C$28</f>
        <v>1200000</v>
      </c>
      <c r="F26" s="30"/>
      <c r="G26" s="30"/>
      <c r="H26" s="30"/>
    </row>
    <row r="27" spans="1:8" x14ac:dyDescent="0.35">
      <c r="A27" s="17" t="s">
        <v>149</v>
      </c>
      <c r="B27" s="31">
        <f>Scenario!E15</f>
        <v>3752714.1880785553</v>
      </c>
      <c r="C27" s="31">
        <f>Scenario!E24</f>
        <v>3513972.4537552232</v>
      </c>
      <c r="D27" s="31">
        <f>Scenario!E33</f>
        <v>3154624.9900014508</v>
      </c>
      <c r="E27" s="31">
        <f>Assumptions!$C$28</f>
        <v>1200000</v>
      </c>
      <c r="F27" s="30"/>
      <c r="G27" s="30"/>
      <c r="H27" s="30"/>
    </row>
    <row r="28" spans="1:8" x14ac:dyDescent="0.35">
      <c r="A28" s="17" t="s">
        <v>150</v>
      </c>
      <c r="B28" s="31">
        <f>Scenario!F15</f>
        <v>3795278.9762858301</v>
      </c>
      <c r="C28" s="31">
        <f>Scenario!F24</f>
        <v>3471299.5323485453</v>
      </c>
      <c r="D28" s="31">
        <f>Scenario!F33</f>
        <v>2984308.8687808765</v>
      </c>
      <c r="E28" s="31">
        <f>Assumptions!$C$28</f>
        <v>1200000</v>
      </c>
      <c r="F28" s="30"/>
      <c r="G28" s="30"/>
      <c r="H28" s="30"/>
    </row>
    <row r="29" spans="1:8" x14ac:dyDescent="0.35">
      <c r="A29" s="17" t="s">
        <v>151</v>
      </c>
      <c r="B29" s="31">
        <f>Scenario!G15</f>
        <v>4149503.8735970515</v>
      </c>
      <c r="C29" s="31">
        <f>Scenario!G24</f>
        <v>3749326.4791802992</v>
      </c>
      <c r="D29" s="31">
        <f>Scenario!G33</f>
        <v>3146648.75515927</v>
      </c>
      <c r="E29" s="31">
        <f>Assumptions!$C$28</f>
        <v>1200000</v>
      </c>
      <c r="F29" s="30"/>
      <c r="G29" s="30"/>
      <c r="H29" s="30"/>
    </row>
    <row r="30" spans="1:8" x14ac:dyDescent="0.35">
      <c r="A30" s="17" t="s">
        <v>152</v>
      </c>
      <c r="B30" s="31">
        <f>Scenario!H15</f>
        <v>4117154.879050225</v>
      </c>
      <c r="C30" s="31">
        <f>Scenario!H24</f>
        <v>3628213.0892061563</v>
      </c>
      <c r="D30" s="31">
        <f>Scenario!H33</f>
        <v>2892994.3389940243</v>
      </c>
      <c r="E30" s="31">
        <f>Assumptions!$C$28</f>
        <v>1200000</v>
      </c>
      <c r="F30" s="30"/>
      <c r="G30" s="30"/>
      <c r="H30" s="30"/>
    </row>
    <row r="31" spans="1:8" x14ac:dyDescent="0.35">
      <c r="A31" s="17" t="s">
        <v>153</v>
      </c>
      <c r="B31" s="31">
        <f>Scenario!I15</f>
        <v>4292691.1439936468</v>
      </c>
      <c r="C31" s="31">
        <f>Scenario!I24</f>
        <v>3722143.3227477511</v>
      </c>
      <c r="D31" s="31">
        <f>Scenario!I33</f>
        <v>2864045.8742651716</v>
      </c>
      <c r="E31" s="31">
        <f>Assumptions!$C$28</f>
        <v>1200000</v>
      </c>
      <c r="F31" s="30"/>
      <c r="G31" s="30"/>
      <c r="H31" s="30"/>
    </row>
    <row r="32" spans="1:8" x14ac:dyDescent="0.35">
      <c r="A32" s="17" t="s">
        <v>154</v>
      </c>
      <c r="B32" s="31">
        <f>Scenario!J15</f>
        <v>4012687.157477261</v>
      </c>
      <c r="C32" s="31">
        <f>Scenario!J24</f>
        <v>3348934.3965466479</v>
      </c>
      <c r="D32" s="31">
        <f>Scenario!J33</f>
        <v>2352895.5831679972</v>
      </c>
      <c r="E32" s="31">
        <f>Assumptions!$C$28</f>
        <v>1200000</v>
      </c>
      <c r="F32" s="30"/>
      <c r="G32" s="30"/>
      <c r="H32" s="30"/>
    </row>
    <row r="33" spans="1:8" x14ac:dyDescent="0.35">
      <c r="A33" s="17" t="s">
        <v>155</v>
      </c>
      <c r="B33" s="31">
        <f>Scenario!K15</f>
        <v>4321771.8503841897</v>
      </c>
      <c r="C33" s="31">
        <f>Scenario!K24</f>
        <v>3586448.0206453083</v>
      </c>
      <c r="D33" s="31">
        <f>Scenario!K33</f>
        <v>2481865.0359337619</v>
      </c>
      <c r="E33" s="31">
        <f>Assumptions!$C$28</f>
        <v>1200000</v>
      </c>
      <c r="F33" s="30"/>
      <c r="G33" s="30"/>
      <c r="H33" s="30"/>
    </row>
    <row r="34" spans="1:8" x14ac:dyDescent="0.35">
      <c r="A34" s="17" t="s">
        <v>156</v>
      </c>
      <c r="B34" s="31">
        <f>Scenario!L15</f>
        <v>4154748.1786760287</v>
      </c>
      <c r="C34" s="31">
        <f>Scenario!L24</f>
        <v>3337296.2675288431</v>
      </c>
      <c r="D34" s="31">
        <f>Scenario!L33</f>
        <v>2110766.9194704224</v>
      </c>
      <c r="E34" s="31">
        <f>Assumptions!$C$28</f>
        <v>1200000</v>
      </c>
      <c r="F34" s="30"/>
      <c r="G34" s="30"/>
      <c r="H34" s="30"/>
    </row>
    <row r="35" spans="1:8" x14ac:dyDescent="0.35">
      <c r="A35" s="17" t="s">
        <v>157</v>
      </c>
      <c r="B35" s="31">
        <f>Scenario!M15</f>
        <v>4404772.2591289915</v>
      </c>
      <c r="C35" s="31">
        <f>Scenario!M24</f>
        <v>3523967.7466717772</v>
      </c>
      <c r="D35" s="31">
        <f>Scenario!M33</f>
        <v>2201476.1392525998</v>
      </c>
      <c r="E35" s="31">
        <f>Assumptions!$C$28</f>
        <v>1200000</v>
      </c>
      <c r="F35" s="30"/>
      <c r="G35" s="30"/>
      <c r="H35" s="30"/>
    </row>
    <row r="36" spans="1:8" x14ac:dyDescent="0.35">
      <c r="A36" s="17" t="s">
        <v>158</v>
      </c>
      <c r="B36" s="31">
        <f>Scenario!N15</f>
        <v>4208243.6951603051</v>
      </c>
      <c r="C36" s="31">
        <f>Scenario!N24</f>
        <v>3257387.6595219369</v>
      </c>
      <c r="D36" s="31">
        <f>Scenario!N33</f>
        <v>1831151.6677667778</v>
      </c>
      <c r="E36" s="31">
        <f>Assumptions!$C$28</f>
        <v>1200000</v>
      </c>
      <c r="F36" s="30"/>
      <c r="G36" s="30"/>
      <c r="H36" s="30"/>
    </row>
    <row r="37" spans="1:8" x14ac:dyDescent="0.35">
      <c r="A37" s="17" t="s">
        <v>159</v>
      </c>
      <c r="B37" s="31">
        <f>Scenario!O15</f>
        <v>4448220.7371947756</v>
      </c>
      <c r="C37" s="31">
        <f>Scenario!O24</f>
        <v>3440602.9001433006</v>
      </c>
      <c r="D37" s="31">
        <f>Scenario!O33</f>
        <v>1928308.1300653755</v>
      </c>
      <c r="E37" s="31">
        <f>Assumptions!$C$28</f>
        <v>1200000</v>
      </c>
      <c r="F37" s="30"/>
      <c r="G37" s="30"/>
      <c r="H37" s="30"/>
    </row>
    <row r="38" spans="1:8" x14ac:dyDescent="0.35">
      <c r="A38" s="17"/>
      <c r="B38" s="17"/>
      <c r="C38" s="17"/>
      <c r="D38" s="30"/>
      <c r="E38" s="30"/>
      <c r="F38" s="30"/>
      <c r="G38" s="30"/>
      <c r="H38" s="30"/>
    </row>
    <row r="39" spans="1:8" x14ac:dyDescent="0.35">
      <c r="A39" s="42" t="s">
        <v>116</v>
      </c>
      <c r="B39" s="42" t="s">
        <v>80</v>
      </c>
      <c r="C39" s="42" t="s">
        <v>63</v>
      </c>
      <c r="D39" s="45" t="s">
        <v>81</v>
      </c>
      <c r="E39" s="45" t="s">
        <v>82</v>
      </c>
      <c r="F39" s="45" t="s">
        <v>83</v>
      </c>
      <c r="G39" s="45" t="s">
        <v>84</v>
      </c>
      <c r="H39" s="30"/>
    </row>
    <row r="40" spans="1:8" x14ac:dyDescent="0.35">
      <c r="A40" s="17" t="s">
        <v>147</v>
      </c>
      <c r="B40" s="31">
        <f>'Live Model'!C10</f>
        <v>631813.61101625941</v>
      </c>
      <c r="C40" s="31">
        <f>'Live Model'!C11</f>
        <v>0</v>
      </c>
      <c r="D40" s="31">
        <f>'Live Model'!C12</f>
        <v>95000</v>
      </c>
      <c r="E40" s="31">
        <f>'Live Model'!C13</f>
        <v>0</v>
      </c>
      <c r="F40" s="31">
        <f>'Live Model'!C14</f>
        <v>21000</v>
      </c>
      <c r="G40" s="31">
        <f>'Live Model'!C15</f>
        <v>0</v>
      </c>
      <c r="H40" s="30"/>
    </row>
    <row r="41" spans="1:8" x14ac:dyDescent="0.35">
      <c r="A41" s="17" t="s">
        <v>148</v>
      </c>
      <c r="B41" s="31">
        <f>'Live Model'!D10</f>
        <v>640963.35853233561</v>
      </c>
      <c r="C41" s="31">
        <f>'Live Model'!D11</f>
        <v>318000</v>
      </c>
      <c r="D41" s="31">
        <f>'Live Model'!D12</f>
        <v>95000</v>
      </c>
      <c r="E41" s="31">
        <f>'Live Model'!D13</f>
        <v>0</v>
      </c>
      <c r="F41" s="31">
        <f>'Live Model'!D14</f>
        <v>21000</v>
      </c>
      <c r="G41" s="31">
        <f>'Live Model'!D15</f>
        <v>0</v>
      </c>
      <c r="H41" s="30"/>
    </row>
    <row r="42" spans="1:8" x14ac:dyDescent="0.35">
      <c r="A42" s="17" t="s">
        <v>149</v>
      </c>
      <c r="B42" s="31">
        <f>'Live Model'!E10</f>
        <v>651136.92589603108</v>
      </c>
      <c r="C42" s="31">
        <f>'Live Model'!E11</f>
        <v>0</v>
      </c>
      <c r="D42" s="31">
        <f>'Live Model'!E12</f>
        <v>95000</v>
      </c>
      <c r="E42" s="31">
        <f>'Live Model'!E13</f>
        <v>240000</v>
      </c>
      <c r="F42" s="31">
        <f>'Live Model'!E14</f>
        <v>21000</v>
      </c>
      <c r="G42" s="31">
        <f>'Live Model'!E15</f>
        <v>0</v>
      </c>
      <c r="H42" s="30"/>
    </row>
    <row r="43" spans="1:8" x14ac:dyDescent="0.35">
      <c r="A43" s="17" t="s">
        <v>150</v>
      </c>
      <c r="B43" s="31">
        <f>'Live Model'!F10</f>
        <v>658141.9460535855</v>
      </c>
      <c r="C43" s="31">
        <f>'Live Model'!F11</f>
        <v>318000</v>
      </c>
      <c r="D43" s="31">
        <f>'Live Model'!F12</f>
        <v>95000</v>
      </c>
      <c r="E43" s="31">
        <f>'Live Model'!F13</f>
        <v>0</v>
      </c>
      <c r="F43" s="31">
        <f>'Live Model'!F14</f>
        <v>21000</v>
      </c>
      <c r="G43" s="31">
        <f>'Live Model'!F15</f>
        <v>0</v>
      </c>
      <c r="H43" s="30"/>
    </row>
    <row r="44" spans="1:8" x14ac:dyDescent="0.35">
      <c r="A44" s="17" t="s">
        <v>151</v>
      </c>
      <c r="B44" s="31">
        <f>'Live Model'!G10</f>
        <v>662707.53922350018</v>
      </c>
      <c r="C44" s="31">
        <f>'Live Model'!G11</f>
        <v>0</v>
      </c>
      <c r="D44" s="31">
        <f>'Live Model'!G12</f>
        <v>95000</v>
      </c>
      <c r="E44" s="31">
        <f>'Live Model'!G13</f>
        <v>0</v>
      </c>
      <c r="F44" s="31">
        <f>'Live Model'!G14</f>
        <v>21000</v>
      </c>
      <c r="G44" s="31">
        <f>'Live Model'!G15</f>
        <v>0</v>
      </c>
      <c r="H44" s="30"/>
    </row>
    <row r="45" spans="1:8" x14ac:dyDescent="0.35">
      <c r="A45" s="17" t="s">
        <v>152</v>
      </c>
      <c r="B45" s="31">
        <f>'Live Model'!H10</f>
        <v>666250.81157528702</v>
      </c>
      <c r="C45" s="31">
        <f>'Live Model'!H11</f>
        <v>318000</v>
      </c>
      <c r="D45" s="31">
        <f>'Live Model'!H12</f>
        <v>95000</v>
      </c>
      <c r="E45" s="31">
        <f>'Live Model'!H13</f>
        <v>85000</v>
      </c>
      <c r="F45" s="31">
        <f>'Live Model'!H14</f>
        <v>21000</v>
      </c>
      <c r="G45" s="31">
        <f>'Live Model'!H15</f>
        <v>0</v>
      </c>
      <c r="H45" s="30"/>
    </row>
    <row r="46" spans="1:8" x14ac:dyDescent="0.35">
      <c r="A46" s="17" t="s">
        <v>153</v>
      </c>
      <c r="B46" s="31">
        <f>'Live Model'!I10</f>
        <v>665368.99655933655</v>
      </c>
      <c r="C46" s="31">
        <f>'Live Model'!I11</f>
        <v>0</v>
      </c>
      <c r="D46" s="31">
        <f>'Live Model'!I12</f>
        <v>275000</v>
      </c>
      <c r="E46" s="31">
        <f>'Live Model'!I13</f>
        <v>0</v>
      </c>
      <c r="F46" s="31">
        <f>'Live Model'!I14</f>
        <v>21000</v>
      </c>
      <c r="G46" s="31">
        <f>'Live Model'!I15</f>
        <v>0</v>
      </c>
      <c r="H46" s="30"/>
    </row>
    <row r="47" spans="1:8" x14ac:dyDescent="0.35">
      <c r="A47" s="17" t="s">
        <v>154</v>
      </c>
      <c r="B47" s="31">
        <f>'Live Model'!J10</f>
        <v>654317.32493465999</v>
      </c>
      <c r="C47" s="31">
        <f>'Live Model'!J11</f>
        <v>318000</v>
      </c>
      <c r="D47" s="31">
        <f>'Live Model'!J12</f>
        <v>95000</v>
      </c>
      <c r="E47" s="31">
        <f>'Live Model'!J13</f>
        <v>0</v>
      </c>
      <c r="F47" s="31">
        <f>'Live Model'!J14</f>
        <v>21000</v>
      </c>
      <c r="G47" s="31">
        <f>'Live Model'!J15</f>
        <v>310000</v>
      </c>
      <c r="H47" s="30"/>
    </row>
    <row r="48" spans="1:8" x14ac:dyDescent="0.35">
      <c r="A48" s="17" t="s">
        <v>155</v>
      </c>
      <c r="B48" s="31">
        <f>'Live Model'!K10</f>
        <v>630192.34504169226</v>
      </c>
      <c r="C48" s="31">
        <f>'Live Model'!K11</f>
        <v>0</v>
      </c>
      <c r="D48" s="31">
        <f>'Live Model'!K12</f>
        <v>95000</v>
      </c>
      <c r="E48" s="31">
        <f>'Live Model'!K13</f>
        <v>0</v>
      </c>
      <c r="F48" s="31">
        <f>'Live Model'!K14</f>
        <v>21000</v>
      </c>
      <c r="G48" s="31">
        <f>'Live Model'!K15</f>
        <v>0</v>
      </c>
      <c r="H48" s="30"/>
    </row>
    <row r="49" spans="1:8" x14ac:dyDescent="0.35">
      <c r="A49" s="17" t="s">
        <v>156</v>
      </c>
      <c r="B49" s="31">
        <f>'Live Model'!L10</f>
        <v>598320.86330159428</v>
      </c>
      <c r="C49" s="31">
        <f>'Live Model'!L11</f>
        <v>318000</v>
      </c>
      <c r="D49" s="31">
        <f>'Live Model'!L12</f>
        <v>95000</v>
      </c>
      <c r="E49" s="31">
        <f>'Live Model'!L13</f>
        <v>150000</v>
      </c>
      <c r="F49" s="31">
        <f>'Live Model'!L14</f>
        <v>21000</v>
      </c>
      <c r="G49" s="31">
        <f>'Live Model'!L15</f>
        <v>0</v>
      </c>
      <c r="H49" s="30"/>
    </row>
    <row r="50" spans="1:8" x14ac:dyDescent="0.35">
      <c r="A50" s="17" t="s">
        <v>157</v>
      </c>
      <c r="B50" s="31">
        <f>'Live Model'!M10</f>
        <v>559237.84191101836</v>
      </c>
      <c r="C50" s="31">
        <f>'Live Model'!M11</f>
        <v>0</v>
      </c>
      <c r="D50" s="31">
        <f>'Live Model'!M12</f>
        <v>95000</v>
      </c>
      <c r="E50" s="31">
        <f>'Live Model'!M13</f>
        <v>0</v>
      </c>
      <c r="F50" s="31">
        <f>'Live Model'!M14</f>
        <v>21000</v>
      </c>
      <c r="G50" s="31">
        <f>'Live Model'!M15</f>
        <v>0</v>
      </c>
      <c r="H50" s="30"/>
    </row>
    <row r="51" spans="1:8" x14ac:dyDescent="0.35">
      <c r="A51" s="17" t="s">
        <v>158</v>
      </c>
      <c r="B51" s="31">
        <f>'Live Model'!N10</f>
        <v>513256.59423307277</v>
      </c>
      <c r="C51" s="31">
        <f>'Live Model'!N11</f>
        <v>413000</v>
      </c>
      <c r="D51" s="31">
        <f>'Live Model'!N12</f>
        <v>95000</v>
      </c>
      <c r="E51" s="31">
        <f>'Live Model'!N13</f>
        <v>0</v>
      </c>
      <c r="F51" s="31">
        <f>'Live Model'!N14</f>
        <v>21000</v>
      </c>
      <c r="G51" s="31">
        <f>'Live Model'!N15</f>
        <v>0</v>
      </c>
      <c r="H51" s="30"/>
    </row>
    <row r="52" spans="1:8" x14ac:dyDescent="0.35">
      <c r="A52" s="17" t="s">
        <v>159</v>
      </c>
      <c r="B52" s="31">
        <f>'Live Model'!O10</f>
        <v>479012.99227547488</v>
      </c>
      <c r="C52" s="31">
        <f>'Live Model'!O11</f>
        <v>0</v>
      </c>
      <c r="D52" s="31">
        <f>'Live Model'!O12</f>
        <v>95000</v>
      </c>
      <c r="E52" s="31">
        <f>'Live Model'!O13</f>
        <v>0</v>
      </c>
      <c r="F52" s="31">
        <f>'Live Model'!O14</f>
        <v>21000</v>
      </c>
      <c r="G52" s="31">
        <f>'Live Model'!O15</f>
        <v>0</v>
      </c>
      <c r="H52" s="30"/>
    </row>
    <row r="53" spans="1:8" x14ac:dyDescent="0.35">
      <c r="A53" s="17"/>
      <c r="B53" s="17"/>
      <c r="C53" s="17"/>
      <c r="D53" s="30"/>
      <c r="E53" s="30"/>
      <c r="F53" s="30"/>
      <c r="G53" s="30"/>
      <c r="H53" s="30"/>
    </row>
    <row r="54" spans="1:8" x14ac:dyDescent="0.35">
      <c r="A54" s="17"/>
      <c r="B54" s="17"/>
      <c r="C54" s="17"/>
      <c r="D54" s="30"/>
      <c r="E54" s="30"/>
      <c r="F54" s="30"/>
      <c r="G54" s="30"/>
      <c r="H54" s="30"/>
    </row>
    <row r="55" spans="1:8" x14ac:dyDescent="0.35">
      <c r="A55" s="48" t="s">
        <v>117</v>
      </c>
      <c r="B55" s="49" t="s">
        <v>167</v>
      </c>
      <c r="C55" s="42" t="s">
        <v>115</v>
      </c>
      <c r="D55" s="30"/>
      <c r="E55" s="30"/>
      <c r="F55" s="30"/>
      <c r="G55" s="30"/>
      <c r="H55" s="30"/>
    </row>
    <row r="56" spans="1:8" x14ac:dyDescent="0.35">
      <c r="A56" s="17" t="s">
        <v>160</v>
      </c>
      <c r="B56" s="39">
        <f>'Variance Calc'!D53</f>
        <v>6.1405835395203612E-2</v>
      </c>
      <c r="C56" s="9">
        <f>'Variance Calc'!C53</f>
        <v>4</v>
      </c>
      <c r="D56" s="17"/>
      <c r="E56" s="17"/>
      <c r="F56" s="17"/>
      <c r="G56" s="17"/>
      <c r="H56" s="17"/>
    </row>
    <row r="57" spans="1:8" x14ac:dyDescent="0.35">
      <c r="A57" s="17" t="s">
        <v>161</v>
      </c>
      <c r="B57" s="39">
        <f>'Variance Calc'!D54</f>
        <v>7.3089031302718169E-2</v>
      </c>
      <c r="C57" s="9">
        <f>'Variance Calc'!C54</f>
        <v>3</v>
      </c>
      <c r="D57" s="17"/>
      <c r="E57" s="17"/>
      <c r="F57" s="17"/>
      <c r="G57" s="17"/>
      <c r="H57" s="17"/>
    </row>
    <row r="58" spans="1:8" x14ac:dyDescent="0.35">
      <c r="A58" s="17" t="s">
        <v>162</v>
      </c>
      <c r="B58" s="39">
        <f>'Variance Calc'!D55</f>
        <v>9.6171958546974676E-2</v>
      </c>
      <c r="C58" s="9">
        <f>'Variance Calc'!C55</f>
        <v>2</v>
      </c>
      <c r="D58" s="17"/>
      <c r="E58" s="17"/>
      <c r="F58" s="17"/>
      <c r="G58" s="17"/>
      <c r="H58" s="17"/>
    </row>
    <row r="59" spans="1:8" x14ac:dyDescent="0.35">
      <c r="A59" s="17" t="s">
        <v>163</v>
      </c>
      <c r="B59" s="39">
        <f>'Variance Calc'!D56</f>
        <v>2.1066135207216025E-2</v>
      </c>
      <c r="C59" s="9">
        <f>'Variance Calc'!C56</f>
        <v>1</v>
      </c>
      <c r="D59" s="17"/>
      <c r="E59" s="17"/>
      <c r="F59" s="17"/>
      <c r="G59" s="17"/>
      <c r="H59" s="17"/>
    </row>
    <row r="60" spans="1:8" x14ac:dyDescent="0.35">
      <c r="A60" s="17"/>
      <c r="B60" s="17"/>
      <c r="C60" s="17"/>
      <c r="D60" s="30"/>
      <c r="E60" s="30"/>
      <c r="F60" s="30"/>
      <c r="G60" s="30"/>
      <c r="H60" s="30"/>
    </row>
  </sheetData>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Overview</vt:lpstr>
      <vt:lpstr>Dashboard</vt:lpstr>
      <vt:lpstr>Assumptions</vt:lpstr>
      <vt:lpstr>Driver Build</vt:lpstr>
      <vt:lpstr>Actuals</vt:lpstr>
      <vt:lpstr>Live Model</vt:lpstr>
      <vt:lpstr>Snapshot Log</vt:lpstr>
      <vt:lpstr>Variance Calc</vt:lpstr>
      <vt:lpstr>Scenario</vt:lpstr>
      <vt:lpstr>KPI Summary</vt:lpstr>
      <vt:lpstr>Chart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Meridian 13-Week Rolling Cash Flow Forecast</dc:title>
  <dc:subject/>
  <dc:creator>Portfolio project</dc:creator>
  <dc:description/>
  <cp:lastModifiedBy>deborahblessy07@outlook.com</cp:lastModifiedBy>
  <cp:revision>1</cp:revision>
  <dcterms:created xsi:type="dcterms:W3CDTF">2026-09-13T17:41:14Z</dcterms:created>
  <dcterms:modified xsi:type="dcterms:W3CDTF">2026-10-04T16:59:34Z</dcterms:modified>
  <dc:language>en-US</dc:language>
</cp:coreProperties>
</file>